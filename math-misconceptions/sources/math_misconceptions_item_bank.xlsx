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isconceptions" sheetId="2" state="visible" r:id="rId4"/>
    <sheet name="Summary" sheetId="3" state="visible" r:id="rId5"/>
    <sheet name="Item bank template" sheetId="4" state="visible" r:id="rId6"/>
    <sheet name="Sources" sheetId="5" state="visible" r:id="rId7"/>
  </sheets>
  <definedNames>
    <definedName function="false" hidden="true" localSheetId="1" name="_xlnm._FilterDatabase" vbProcedure="false">Misconceptions!$A$1:$N$34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Yellow column N: map each misconception to the matching item in your Finnish_math_curriculum document.</t>
        </r>
      </text>
    </comment>
  </commentList>
</comments>
</file>

<file path=xl/sharedStrings.xml><?xml version="1.0" encoding="utf-8"?>
<sst xmlns="http://schemas.openxmlformats.org/spreadsheetml/2006/main" count="698" uniqueCount="568">
  <si>
    <t xml:space="preserve">Misconception item bank – grades 7–9</t>
  </si>
  <si>
    <t xml:space="preserve">Purpose</t>
  </si>
  <si>
    <t xml:space="preserve">A tagged catalogue of documented mathematical misconceptions and errors, with one illustrative diagnostic item per misconception, for the JAES FinnMath-teaching App (quizzes, example homeworks, definition look-up tables).</t>
  </si>
  <si>
    <t xml:space="preserve">Created</t>
  </si>
  <si>
    <t xml:space="preserve">20 September 2026, from the literature summary math_misconceptions_grades7-9_summary.docx and the bibliography math_misconceptions_grades7-9.bib (85 entries).</t>
  </si>
  <si>
    <t xml:space="preserve">Sheets</t>
  </si>
  <si>
    <t xml:space="preserve">Misconceptions = the catalogue (33 rows). Item bank template = where to write real items, linked to misconception IDs. Summary = counts by strand and evidence strength (formulas). Sources = references used, parsed from the .bib file.</t>
  </si>
  <si>
    <t xml:space="preserve">How to use</t>
  </si>
  <si>
    <t xml:space="preserve">1) Filter the Misconceptions sheet by strand or evidence strength. 2) Copy a row's stem and distractor into the Item bank template as a starting point, then rewrite in Finnish and adapt numbers. 3) Fill the yellow column 'Finnish curriculum item' by mapping to your Finnish_math_curriculum document.</t>
  </si>
  <si>
    <t xml:space="preserve">Editable cells</t>
  </si>
  <si>
    <t xml:space="preserve">Yellow cells with blue text are for you to edit or fill. Everything else is reference content or a formula.</t>
  </si>
  <si>
    <t xml:space="preserve">Evidence strength – Strong</t>
  </si>
  <si>
    <t xml:space="preserve">Documented in several studies or one large-sample study, checked at abstract level in this project.</t>
  </si>
  <si>
    <t xml:space="preserve">Evidence strength – Moderate</t>
  </si>
  <si>
    <t xml:space="preserve">At least one empirical study or a review checked at abstract level; the exact item wording here is illustrative.</t>
  </si>
  <si>
    <t xml:space="preserve">Evidence strength – Limited</t>
  </si>
  <si>
    <t xml:space="preserve">Mentioned in a review, tied to a study only by title, recalled from the literature, or the item is not the study's own. Check the full text before relying on it.</t>
  </si>
  <si>
    <t xml:space="preserve">Important caveats</t>
  </si>
  <si>
    <t xml:space="preserve">Items were written for this project, not taken from the studies. The wrong answer shown is the most typical option, not a measured majority answer. Most evidence is from outside Finland. Finnish decimal comma is used in the items; keep it in translations. Evidence was read at abstract or excerpt level except the Finnish percentage study.</t>
  </si>
  <si>
    <t xml:space="preserve">Licences</t>
  </si>
  <si>
    <t xml:space="preserve">No third-party item text was copied. If you seed the bank from the Eedi Kaggle dataset or the Otero et al. (2024) benchmark, check their licences first.</t>
  </si>
  <si>
    <t xml:space="preserve">ID</t>
  </si>
  <si>
    <t xml:space="preserve">Strand</t>
  </si>
  <si>
    <t xml:space="preserve">Topic</t>
  </si>
  <si>
    <t xml:space="preserve">Misconception</t>
  </si>
  <si>
    <t xml:space="preserve">Description</t>
  </si>
  <si>
    <t xml:space="preserve">Illustrative item (stem)</t>
  </si>
  <si>
    <t xml:space="preserve">Correct answer</t>
  </si>
  <si>
    <t xml:space="preserve">Typical wrong answer (distractor)</t>
  </si>
  <si>
    <t xml:space="preserve">Why students choose it</t>
  </si>
  <si>
    <t xml:space="preserve">Sample in key sources</t>
  </si>
  <si>
    <t xml:space="preserve">Evidence strength</t>
  </si>
  <si>
    <t xml:space="preserve">Source keys (see Sources sheet)</t>
  </si>
  <si>
    <t xml:space="preserve">Curriculum area</t>
  </si>
  <si>
    <t xml:space="preserve">Finnish curriculum item (fill in)</t>
  </si>
  <si>
    <t xml:space="preserve">ALG-01</t>
  </si>
  <si>
    <t xml:space="preserve">Algebra</t>
  </si>
  <si>
    <t xml:space="preserve">Variables and letters</t>
  </si>
  <si>
    <t xml:space="preserve">Letter as object (label)</t>
  </si>
  <si>
    <t xml:space="preserve">A letter is read as a label for an object (apples, pears) instead of a number.</t>
  </si>
  <si>
    <t xml:space="preserve">Anna buys a apples at 5 cents each and p pears at 3 cents each. What does the expression 5a + 3p give?</t>
  </si>
  <si>
    <t xml:space="preserve">The total cost in cents.</t>
  </si>
  <si>
    <t xml:space="preserve">5 apples and 3 pears.</t>
  </si>
  <si>
    <t xml:space="preserve">The letters are read as names of objects and the numbers as amounts of them.</t>
  </si>
  <si>
    <t xml:space="preserve">Year 7–8, Germany (N = 2,220); Years 7–10, Australia (24 schools)</t>
  </si>
  <si>
    <t xml:space="preserve">Strong</t>
  </si>
  <si>
    <t xml:space="preserve">kuchemann1981algebra; macgregor1997notation; klingbeil2025omnipresence</t>
  </si>
  <si>
    <t xml:space="preserve">Algebra and equations</t>
  </si>
  <si>
    <t xml:space="preserve">ALG-02</t>
  </si>
  <si>
    <t xml:space="preserve">Different letters must differ in value</t>
  </si>
  <si>
    <t xml:space="preserve">Different letters are assumed to stand for different numbers.</t>
  </si>
  <si>
    <t xml:space="preserve">Can c + d = 10 be true when c and d have the same value?</t>
  </si>
  <si>
    <t xml:space="preserve">Yes: c = 5 and d = 5.</t>
  </si>
  <si>
    <t xml:space="preserve">No, different letters must stand for different numbers.</t>
  </si>
  <si>
    <t xml:space="preserve">A letter is treated as a fixed name for one number, so two letters cannot share a value.</t>
  </si>
  <si>
    <t xml:space="preserve">Described as a well-documented preconception in a 2026 German study (authors not verified) that cites Küchemann and MacGregor &amp; Stacey</t>
  </si>
  <si>
    <t xml:space="preserve">Moderate</t>
  </si>
  <si>
    <t xml:space="preserve">kuchemann1981algebra; macgregor1997notation</t>
  </si>
  <si>
    <t xml:space="preserve">ALG-03</t>
  </si>
  <si>
    <t xml:space="preserve">Value from alphabet position</t>
  </si>
  <si>
    <t xml:space="preserve">The value of a letter is assumed from its place in the alphabet.</t>
  </si>
  <si>
    <t xml:space="preserve">n + 5 = 12. What is n?</t>
  </si>
  <si>
    <t xml:space="preserve">n = 7</t>
  </si>
  <si>
    <t xml:space="preserve">n = 14, because n is the 14th letter.</t>
  </si>
  <si>
    <t xml:space="preserve">The letter is evaluated by position, not solved for.</t>
  </si>
  <si>
    <t xml:space="preserve">Mentioned as a documented numerical preconception in a 2026 German study (authors not verified)</t>
  </si>
  <si>
    <t xml:space="preserve">Limited</t>
  </si>
  <si>
    <t xml:space="preserve">kuchemann1981algebra</t>
  </si>
  <si>
    <t xml:space="preserve">ALG-04</t>
  </si>
  <si>
    <t xml:space="preserve">Expressions and notation</t>
  </si>
  <si>
    <t xml:space="preserve">Conjoining terms</t>
  </si>
  <si>
    <t xml:space="preserve">Terms are joined into a single term to 'finish' the expression.</t>
  </si>
  <si>
    <t xml:space="preserve">Simplify 3x + 8.</t>
  </si>
  <si>
    <t xml:space="preserve">3x + 8 (it cannot be simplified further).</t>
  </si>
  <si>
    <t xml:space="preserve">11x</t>
  </si>
  <si>
    <t xml:space="preserve">The '+' is read as a request to produce one answer, so numbers and letter terms are combined.</t>
  </si>
  <si>
    <t xml:space="preserve">Years 7–10, Australia (24 schools)</t>
  </si>
  <si>
    <t xml:space="preserve">macgregor1997notation; kuchemann1981algebra</t>
  </si>
  <si>
    <t xml:space="preserve">ALG-05</t>
  </si>
  <si>
    <t xml:space="preserve">Juxtaposition read as place value</t>
  </si>
  <si>
    <t xml:space="preserve">In 2a the letter and number are read like digits in a numeral.</t>
  </si>
  <si>
    <t xml:space="preserve">If a = 5, what is the value of 2a?</t>
  </si>
  <si>
    <t xml:space="preserve">10</t>
  </si>
  <si>
    <t xml:space="preserve">25</t>
  </si>
  <si>
    <t xml:space="preserve">Analogy with place-value notation, where 25 means 2 tens and 5 ones.</t>
  </si>
  <si>
    <t xml:space="preserve">Years 7–10, Australia (24 schools); origins described as analogies with familiar symbol systems</t>
  </si>
  <si>
    <t xml:space="preserve">macgregor1997notation</t>
  </si>
  <si>
    <t xml:space="preserve">ALG-06</t>
  </si>
  <si>
    <t xml:space="preserve">Equal sign</t>
  </si>
  <si>
    <t xml:space="preserve">Operational reading of '='</t>
  </si>
  <si>
    <t xml:space="preserve">'=' is read as 'the answer comes next' rather than 'both sides have the same value'.</t>
  </si>
  <si>
    <t xml:space="preserve">Fill in the box: 8 + 4 = □ + 5</t>
  </si>
  <si>
    <t xml:space="preserve">7</t>
  </si>
  <si>
    <t xml:space="preserve">12 (or 17).</t>
  </si>
  <si>
    <t xml:space="preserve">The student adds the numbers on the left and writes the result, ignoring the right side.</t>
  </si>
  <si>
    <t xml:space="preserve">Middle school, U.S.; many earlier studies</t>
  </si>
  <si>
    <t xml:space="preserve">kieran1981equality; knuth2006equal</t>
  </si>
  <si>
    <t xml:space="preserve">ALG-07</t>
  </si>
  <si>
    <t xml:space="preserve">Solving equations</t>
  </si>
  <si>
    <t xml:space="preserve">Sign errors and one-sided operations</t>
  </si>
  <si>
    <t xml:space="preserve">Terms are moved without changing sign, or an operation is applied to only one side.</t>
  </si>
  <si>
    <t xml:space="preserve">Solve 3x + 5 = 20.</t>
  </si>
  <si>
    <t xml:space="preserve">x = 5</t>
  </si>
  <si>
    <t xml:space="preserve">x = 25/3 (from 3x = 20 + 5).</t>
  </si>
  <si>
    <t xml:space="preserve">'Moving' 5 across the equal sign without inverting the operation.</t>
  </si>
  <si>
    <t xml:space="preserve">Algebra I, U.S. (error analysis over the school year)</t>
  </si>
  <si>
    <t xml:space="preserve">booth2014persistent; kieran2007learning; bush2013prerequisite</t>
  </si>
  <si>
    <t xml:space="preserve">ALG-08</t>
  </si>
  <si>
    <t xml:space="preserve">Brackets and distribution</t>
  </si>
  <si>
    <t xml:space="preserve">Distributive law applied to one term</t>
  </si>
  <si>
    <t xml:space="preserve">A multiplier is applied to the first term in a bracket only ('linear extrapolation').</t>
  </si>
  <si>
    <t xml:space="preserve">Expand 2(x + 3).</t>
  </si>
  <si>
    <t xml:space="preserve">2x + 6</t>
  </si>
  <si>
    <t xml:space="preserve">2x + 3</t>
  </si>
  <si>
    <t xml:space="preserve">A valid rule is extended to a new situation but applied partially.</t>
  </si>
  <si>
    <t xml:space="preserve">High-school algebra error models; middle-grade reviews</t>
  </si>
  <si>
    <t xml:space="preserve">matz1982process; bush2013prerequisite</t>
  </si>
  <si>
    <t xml:space="preserve">ALG-09</t>
  </si>
  <si>
    <t xml:space="preserve">Brackets and powers</t>
  </si>
  <si>
    <t xml:space="preserve">Square of a sum</t>
  </si>
  <si>
    <t xml:space="preserve">The power is distributed over addition.</t>
  </si>
  <si>
    <t xml:space="preserve">Expand (a + b)².</t>
  </si>
  <si>
    <t xml:space="preserve">a² + 2ab + b²</t>
  </si>
  <si>
    <t xml:space="preserve">a² + b²</t>
  </si>
  <si>
    <t xml:space="preserve">Distribution of the exponent over a sum, by analogy with (ab)² = a²b².</t>
  </si>
  <si>
    <t xml:space="preserve">ALG-10</t>
  </si>
  <si>
    <t xml:space="preserve">Translating word problems</t>
  </si>
  <si>
    <t xml:space="preserve">Reversal error</t>
  </si>
  <si>
    <t xml:space="preserve">The letters follow the order of words in the sentence.</t>
  </si>
  <si>
    <t xml:space="preserve">There are 6 times as many students (S) as professors (P). Which equation is correct?</t>
  </si>
  <si>
    <t xml:space="preserve">S = 6P</t>
  </si>
  <si>
    <t xml:space="preserve">6S = P</t>
  </si>
  <si>
    <t xml:space="preserve">Word order is mapped directly to symbol order ('6 S ... P').</t>
  </si>
  <si>
    <t xml:space="preserve">Students and professors problem; classic and replicated studies</t>
  </si>
  <si>
    <t xml:space="preserve">clement1981translation; clement1982algebra</t>
  </si>
  <si>
    <t xml:space="preserve">ALG-11</t>
  </si>
  <si>
    <t xml:space="preserve">Negative numbers and the minus sign</t>
  </si>
  <si>
    <t xml:space="preserve">Minus sign not distributed</t>
  </si>
  <si>
    <t xml:space="preserve">The minus sign before a bracket is applied to the first term only.</t>
  </si>
  <si>
    <t xml:space="preserve">Simplify −(x − 3).</t>
  </si>
  <si>
    <t xml:space="preserve">−x + 3</t>
  </si>
  <si>
    <t xml:space="preserve">−x − 3</t>
  </si>
  <si>
    <t xml:space="preserve">The minus is read as belonging to x, not to the whole bracket.</t>
  </si>
  <si>
    <t xml:space="preserve">Interviews with 12 eighth-graders, Belgium</t>
  </si>
  <si>
    <t xml:space="preserve">vlassis2004minus</t>
  </si>
  <si>
    <t xml:space="preserve">ALG-12</t>
  </si>
  <si>
    <t xml:space="preserve">Subtraction of a negative number</t>
  </si>
  <si>
    <t xml:space="preserve">Natural-number rules about subtraction are carried over to negatives.</t>
  </si>
  <si>
    <t xml:space="preserve">Calculate 5 − (−2).</t>
  </si>
  <si>
    <t xml:space="preserve">3</t>
  </si>
  <si>
    <t xml:space="preserve">'Subtracting makes smaller' is applied without regard to the sign of the subtrahend.</t>
  </si>
  <si>
    <t xml:space="preserve">Related findings from interviews with 12 eighth-graders, Belgium (indirect)</t>
  </si>
  <si>
    <t xml:space="preserve">NUM-01</t>
  </si>
  <si>
    <t xml:space="preserve">Number</t>
  </si>
  <si>
    <t xml:space="preserve">Decimals</t>
  </si>
  <si>
    <t xml:space="preserve">Longer decimal is larger</t>
  </si>
  <si>
    <t xml:space="preserve">The decimal with more digits is judged larger.</t>
  </si>
  <si>
    <t xml:space="preserve">Which is larger: 0,45 or 0,6?</t>
  </si>
  <si>
    <t xml:space="preserve">0,6</t>
  </si>
  <si>
    <t xml:space="preserve">0,45</t>
  </si>
  <si>
    <t xml:space="preserve">Digits after the comma are read as a whole number (45 &gt; 6).</t>
  </si>
  <si>
    <t xml:space="preserve">3,000+ students in grades 4–10, Australia (about 10,000 tests)</t>
  </si>
  <si>
    <t xml:space="preserve">steinle2004longitudinal; steinle2004persistence; steinle2004changes</t>
  </si>
  <si>
    <t xml:space="preserve">Numbers and percentages</t>
  </si>
  <si>
    <t xml:space="preserve">NUM-02</t>
  </si>
  <si>
    <t xml:space="preserve">Shorter decimal is larger</t>
  </si>
  <si>
    <t xml:space="preserve">The decimal with fewer digits is judged larger.</t>
  </si>
  <si>
    <t xml:space="preserve">Which is larger: 0,4 or 0,45?</t>
  </si>
  <si>
    <t xml:space="preserve">0,4</t>
  </si>
  <si>
    <t xml:space="preserve">Hundredths are believed to be larger than tenths (as with 1/100 vs 1/10 reversed).</t>
  </si>
  <si>
    <t xml:space="preserve">3,000+ students in grades 4–10, Australia; about 900 followed longitudinally</t>
  </si>
  <si>
    <t xml:space="preserve">steinle2004persistence; steinle2004longitudinal</t>
  </si>
  <si>
    <t xml:space="preserve">NUM-03</t>
  </si>
  <si>
    <t xml:space="preserve">Fractions</t>
  </si>
  <si>
    <t xml:space="preserve">Whole-number bias in fraction addition</t>
  </si>
  <si>
    <t xml:space="preserve">Numerators and denominators are added separately.</t>
  </si>
  <si>
    <t xml:space="preserve">Calculate 1/8 + 1/8.</t>
  </si>
  <si>
    <t xml:space="preserve">1/4</t>
  </si>
  <si>
    <t xml:space="preserve">2/16</t>
  </si>
  <si>
    <t xml:space="preserve">Numerator and denominator are treated as independent whole numbers.</t>
  </si>
  <si>
    <t xml:space="preserve">Reviews and studies across grades</t>
  </si>
  <si>
    <t xml:space="preserve">ni2005whole; siegler2017hard</t>
  </si>
  <si>
    <t xml:space="preserve">NUM-04</t>
  </si>
  <si>
    <t xml:space="preserve">Fractions and decimals</t>
  </si>
  <si>
    <t xml:space="preserve">Multiplication always makes bigger</t>
  </si>
  <si>
    <t xml:space="preserve">The result of multiplying is expected to exceed both factors.</t>
  </si>
  <si>
    <t xml:space="preserve">Is 0,5 × 8 greater or smaller than 8?</t>
  </si>
  <si>
    <t xml:space="preserve">Smaller.</t>
  </si>
  <si>
    <t xml:space="preserve">Greater.</t>
  </si>
  <si>
    <t xml:space="preserve">Whole-number experience: multiplying makes larger.</t>
  </si>
  <si>
    <t xml:space="preserve">Middle-school students and pre-service teachers answered below chance on such items</t>
  </si>
  <si>
    <t xml:space="preserve">siegler2015conceptual; siegler2017hard</t>
  </si>
  <si>
    <t xml:space="preserve">NUM-05</t>
  </si>
  <si>
    <t xml:space="preserve">Division always makes smaller</t>
  </si>
  <si>
    <t xml:space="preserve">The result of dividing is expected to be less than the dividend.</t>
  </si>
  <si>
    <t xml:space="preserve">Calculate 8 ÷ 0,5.</t>
  </si>
  <si>
    <t xml:space="preserve">16</t>
  </si>
  <si>
    <t xml:space="preserve">4</t>
  </si>
  <si>
    <t xml:space="preserve">Whole-number experience: dividing makes smaller (or halving is applied).</t>
  </si>
  <si>
    <t xml:space="preserve">Middle-school students and pre-service teachers (direction-of-effect tasks)</t>
  </si>
  <si>
    <t xml:space="preserve">NUM-06</t>
  </si>
  <si>
    <t xml:space="preserve">Rational numbers</t>
  </si>
  <si>
    <t xml:space="preserve">No number between 0,3 and 0,4</t>
  </si>
  <si>
    <t xml:space="preserve">Rational numbers are treated as discrete, like whole numbers.</t>
  </si>
  <si>
    <t xml:space="preserve">How many numbers lie between 0,3 and 0,4?</t>
  </si>
  <si>
    <t xml:space="preserve">Infinitely many.</t>
  </si>
  <si>
    <t xml:space="preserve">None (or only 0,35).</t>
  </si>
  <si>
    <t xml:space="preserve">Natural-number successor thinking is applied to decimals.</t>
  </si>
  <si>
    <t xml:space="preserve">1,343 students in grades 4–12, Belgium; Finnish upper-secondary study on number concept</t>
  </si>
  <si>
    <t xml:space="preserve">vanhoof2015inappropriately; vamvakoussi2010many; merenluoto2004number</t>
  </si>
  <si>
    <t xml:space="preserve">NUM-07</t>
  </si>
  <si>
    <t xml:space="preserve">Percentages</t>
  </si>
  <si>
    <t xml:space="preserve">Wrong base in reverse percentage</t>
  </si>
  <si>
    <t xml:space="preserve">The given (new) amount is treated as the base value.</t>
  </si>
  <si>
    <t xml:space="preserve">A can now holds 180 g, which is 20 % more than last year. How much did it hold last year?</t>
  </si>
  <si>
    <t xml:space="preserve">150 g</t>
  </si>
  <si>
    <t xml:space="preserve">144 g (180 g − 20 % of 180 g).</t>
  </si>
  <si>
    <t xml:space="preserve">The 20 % is taken from the new amount instead of the original amount.</t>
  </si>
  <si>
    <t xml:space="preserve">1,112 Finnish students in grades 7–9; 48 % of 580 responses were 144 g, 30 % correct</t>
  </si>
  <si>
    <t xml:space="preserve">joutsenlahti2024percentage; shahbari2015resolving</t>
  </si>
  <si>
    <t xml:space="preserve">NUM-08</t>
  </si>
  <si>
    <t xml:space="preserve">Successive percentage changes</t>
  </si>
  <si>
    <t xml:space="preserve">A rise and a fall of the same percentage are assumed to cancel.</t>
  </si>
  <si>
    <t xml:space="preserve">A number of visitors rises by 10 % and then falls by 10 %. Compared with the start, the number has:</t>
  </si>
  <si>
    <t xml:space="preserve">Decreased (to 99 % of the start).</t>
  </si>
  <si>
    <t xml:space="preserve">Stayed the same.</t>
  </si>
  <si>
    <t xml:space="preserve">Percentages are treated as equal absolute amounts, ignoring the changing base.</t>
  </si>
  <si>
    <t xml:space="preserve">Task used with 1,112 Finnish students in grades 7–9 (35 % of grade 9 correct); error type not itemised in what was read</t>
  </si>
  <si>
    <t xml:space="preserve">joutsenlahti2024percentage</t>
  </si>
  <si>
    <t xml:space="preserve">PRO-01</t>
  </si>
  <si>
    <t xml:space="preserve">Proportion and geometry</t>
  </si>
  <si>
    <t xml:space="preserve">Scaling</t>
  </si>
  <si>
    <t xml:space="preserve">Illusion of linearity: area</t>
  </si>
  <si>
    <t xml:space="preserve">Doubling the side is assumed to double the area.</t>
  </si>
  <si>
    <t xml:space="preserve">The side of a square is doubled. The area becomes:</t>
  </si>
  <si>
    <t xml:space="preserve">4 times as large.</t>
  </si>
  <si>
    <t xml:space="preserve">2 times as large.</t>
  </si>
  <si>
    <t xml:space="preserve">A proportional (linear) model is applied where the relation is quadratic.</t>
  </si>
  <si>
    <t xml:space="preserve">Ages 12–16, Belgium (interviews and tests)</t>
  </si>
  <si>
    <t xml:space="preserve">debock2002improper; vandooren2008linear</t>
  </si>
  <si>
    <t xml:space="preserve">Proportion, geometry</t>
  </si>
  <si>
    <t xml:space="preserve">PRO-02</t>
  </si>
  <si>
    <t xml:space="preserve">Illusion of linearity: volume</t>
  </si>
  <si>
    <t xml:space="preserve">Doubling the edge is assumed to double the volume.</t>
  </si>
  <si>
    <t xml:space="preserve">The edge of a cube is doubled. The volume becomes:</t>
  </si>
  <si>
    <t xml:space="preserve">8 times as large.</t>
  </si>
  <si>
    <t xml:space="preserve">2 times as large (or 4 times).</t>
  </si>
  <si>
    <t xml:space="preserve">A proportional model is applied to a cubic relation.</t>
  </si>
  <si>
    <t xml:space="preserve">PRO-03</t>
  </si>
  <si>
    <t xml:space="preserve">Area and perimeter</t>
  </si>
  <si>
    <t xml:space="preserve">Same perimeter means same area</t>
  </si>
  <si>
    <t xml:space="preserve">Equal perimeters are assumed to imply equal areas ('same A, same B').</t>
  </si>
  <si>
    <t xml:space="preserve">A 5 cm × 1 cm rectangle and a 3 cm × 3 cm square have the same perimeter. Do they have the same area?</t>
  </si>
  <si>
    <t xml:space="preserve">No: 5 cm² and 9 cm².</t>
  </si>
  <si>
    <t xml:space="preserve">Yes, the perimeters are equal.</t>
  </si>
  <si>
    <t xml:space="preserve">An intuitive rule: if one quantity is equal, the other is equal too.</t>
  </si>
  <si>
    <t xml:space="preserve">28 grade 7 students in an intervention study; rule documented across topics</t>
  </si>
  <si>
    <t xml:space="preserve">tirosh1999intuitive; stavy2000how; awawdehshahbari2021cognitive</t>
  </si>
  <si>
    <t xml:space="preserve">PRO-04</t>
  </si>
  <si>
    <t xml:space="preserve">Larger perimeter means larger area</t>
  </si>
  <si>
    <t xml:space="preserve">A rise in perimeter is assumed to raise the area ('more A, more B').</t>
  </si>
  <si>
    <t xml:space="preserve">Shape P has a larger perimeter than shape Q. Must P also have a larger area?</t>
  </si>
  <si>
    <t xml:space="preserve">No, not necessarily.</t>
  </si>
  <si>
    <t xml:space="preserve">Yes, a longer boundary encloses more.</t>
  </si>
  <si>
    <t xml:space="preserve">An intuitive rule: more of one quantity means more of another.</t>
  </si>
  <si>
    <t xml:space="preserve">Intuitive-rule studies (Israel and cross-cultural)</t>
  </si>
  <si>
    <t xml:space="preserve">tirosh1999intuitive; stavy2000how</t>
  </si>
  <si>
    <t xml:space="preserve">GEO-01</t>
  </si>
  <si>
    <t xml:space="preserve">Geometry</t>
  </si>
  <si>
    <t xml:space="preserve">Shapes and definitions</t>
  </si>
  <si>
    <t xml:space="preserve">Prototype-bound concept of triangle</t>
  </si>
  <si>
    <t xml:space="preserve">Only shapes close to a prototype (symmetrical, base down) are accepted.</t>
  </si>
  <si>
    <t xml:space="preserve">A scalene triangle is drawn tilted on one side. Is it a triangle?</t>
  </si>
  <si>
    <t xml:space="preserve">Yes: any closed shape with three straight sides is a triangle.</t>
  </si>
  <si>
    <t xml:space="preserve">No, it is not a proper triangle.</t>
  </si>
  <si>
    <t xml:space="preserve">The concept image is tied to a familiar prototype figure.</t>
  </si>
  <si>
    <t xml:space="preserve">Quadrilateral and prototype studies (263 learners in Fujita &amp; Jones); 241 pupils in grades 7–9, Tampere (Silfverberg)</t>
  </si>
  <si>
    <t xml:space="preserve">fujita2007learners; silfverberg1999geometrisen; silfverberg2019geometrical</t>
  </si>
  <si>
    <t xml:space="preserve">GEO-02</t>
  </si>
  <si>
    <t xml:space="preserve">A square is not a rectangle</t>
  </si>
  <si>
    <t xml:space="preserve">Classes of shapes are treated as separate rather than nested.</t>
  </si>
  <si>
    <t xml:space="preserve">Is every square also a rectangle?</t>
  </si>
  <si>
    <t xml:space="preserve">Yes: a square has all the properties of a rectangle.</t>
  </si>
  <si>
    <t xml:space="preserve">No, they are different shapes.</t>
  </si>
  <si>
    <t xml:space="preserve">Partitional classification based on appearance and prototypes.</t>
  </si>
  <si>
    <t xml:space="preserve">Grade 8, Germany (Heinze, 2002); learners in Fujita (2012)</t>
  </si>
  <si>
    <t xml:space="preserve">heinze2002quadrat; fujita2012learners; fujita2007learners</t>
  </si>
  <si>
    <t xml:space="preserve">FUN-01</t>
  </si>
  <si>
    <t xml:space="preserve">Functions and graphs</t>
  </si>
  <si>
    <t xml:space="preserve">Reading graphs</t>
  </si>
  <si>
    <t xml:space="preserve">Graph as picture</t>
  </si>
  <si>
    <t xml:space="preserve">A graph is read as a picture of the situation.</t>
  </si>
  <si>
    <t xml:space="preserve">A cyclist rides down a hill, along a flat road, then up a hill. Which speed–time graph is correct?</t>
  </si>
  <si>
    <t xml:space="preserve">Speed rises, stays roughly constant, then falls.</t>
  </si>
  <si>
    <t xml:space="preserve">A graph shaped like the hill and valley.</t>
  </si>
  <si>
    <t xml:space="preserve">Visual features of the scene are matched to the graph's shape.</t>
  </si>
  <si>
    <t xml:space="preserve">Reviews and physics-education studies; 895 high-school and college students (Beichner)</t>
  </si>
  <si>
    <t xml:space="preserve">clement1985misconceptions; beichner1994testing; leinhardt1990functions</t>
  </si>
  <si>
    <t xml:space="preserve">Functions</t>
  </si>
  <si>
    <t xml:space="preserve">FUN-02</t>
  </si>
  <si>
    <t xml:space="preserve">Slope–height confusion</t>
  </si>
  <si>
    <t xml:space="preserve">Height of a graph is used where slope is needed.</t>
  </si>
  <si>
    <t xml:space="preserve">Two distance–time graphs cross at t = 4. At t = 2, which object moves faster?</t>
  </si>
  <si>
    <t xml:space="preserve">The one with the steeper line.</t>
  </si>
  <si>
    <t xml:space="preserve">The one that is higher (has travelled farther) at t = 2.</t>
  </si>
  <si>
    <t xml:space="preserve">Height is a more salient feature than slope.</t>
  </si>
  <si>
    <t xml:space="preserve">Clement (1985): as many as half answered the slower one; 114 Croatian students aged 15–16 showed it in maths and physics</t>
  </si>
  <si>
    <t xml:space="preserve">clement1985misconceptions; beichner1994testing; planinic2012comparison</t>
  </si>
  <si>
    <t xml:space="preserve">FUN-03</t>
  </si>
  <si>
    <t xml:space="preserve">Slope and scale</t>
  </si>
  <si>
    <t xml:space="preserve">Slope confused with visual steepness</t>
  </si>
  <si>
    <t xml:space="preserve">The numerical slope is inferred from how steep a line looks after a change of axis scale.</t>
  </si>
  <si>
    <t xml:space="preserve">The line y = x is drawn with 1 unit on the y-axis twice as long as 1 unit on the x-axis. It looks steeper than 45°. What is its slope?</t>
  </si>
  <si>
    <t xml:space="preserve">1</t>
  </si>
  <si>
    <t xml:space="preserve">2 (the visual steepness).</t>
  </si>
  <si>
    <t xml:space="preserve">Algebraic slope and geometric angle are treated as the same thing.</t>
  </si>
  <si>
    <t xml:space="preserve">124 participants including 11th graders (grade 7–9 frequencies not verified)</t>
  </si>
  <si>
    <t xml:space="preserve">zaslavsky2002sloppy</t>
  </si>
  <si>
    <t xml:space="preserve">FUN-04</t>
  </si>
  <si>
    <t xml:space="preserve">Function concept</t>
  </si>
  <si>
    <t xml:space="preserve">Function must have a formula or change</t>
  </si>
  <si>
    <t xml:space="preserve">A constant relation is not accepted as a function.</t>
  </si>
  <si>
    <t xml:space="preserve">Is y = 5 a function of x?</t>
  </si>
  <si>
    <t xml:space="preserve">Yes: every x gives exactly one y (namely 5).</t>
  </si>
  <si>
    <t xml:space="preserve">No, a function must change or contain x.</t>
  </si>
  <si>
    <t xml:space="preserve">Concept image differs from the formal definition.</t>
  </si>
  <si>
    <t xml:space="preserve">Concept images and definitions studied by Vinner &amp; Dreyfus; details of this item not verified</t>
  </si>
  <si>
    <t xml:space="preserve">vinner1989images; leinhardt1990functions</t>
  </si>
  <si>
    <t xml:space="preserve">FUN-05</t>
  </si>
  <si>
    <t xml:space="preserve">Linear functions</t>
  </si>
  <si>
    <t xml:space="preserve">Every linear function is proportional</t>
  </si>
  <si>
    <t xml:space="preserve">Doubling x is assumed to double y for any linear function.</t>
  </si>
  <si>
    <t xml:space="preserve">For y = 2x + 3, if x is doubled, is y doubled?</t>
  </si>
  <si>
    <t xml:space="preserve">No: e.g. x = 1 gives y = 5, x = 2 gives y = 7.</t>
  </si>
  <si>
    <t xml:space="preserve">Yes, it is a straight line.</t>
  </si>
  <si>
    <t xml:space="preserve">Linear and proportional relations are conflated.</t>
  </si>
  <si>
    <t xml:space="preserve">Linear-model overuse documented in ages 12–16; this specific function item not verified</t>
  </si>
  <si>
    <t xml:space="preserve">PRB-01</t>
  </si>
  <si>
    <t xml:space="preserve">Probability</t>
  </si>
  <si>
    <t xml:space="preserve">Random events</t>
  </si>
  <si>
    <t xml:space="preserve">Recency (gambler's fallacy)</t>
  </si>
  <si>
    <t xml:space="preserve">Past outcomes of a random process are assumed to influence the next.</t>
  </si>
  <si>
    <t xml:space="preserve">A fair coin has landed heads 4 times in a row. What is the probability of heads on the next toss?</t>
  </si>
  <si>
    <t xml:space="preserve">1/2</t>
  </si>
  <si>
    <t xml:space="preserve">Less than 1/2 (tails is 'due').</t>
  </si>
  <si>
    <t xml:space="preserve">Belief that a random sequence must 'balance out' in the short run.</t>
  </si>
  <si>
    <t xml:space="preserve">Grades 5, 7, 9, 11 and prospective teachers (Fischbein &amp; Schnarch)</t>
  </si>
  <si>
    <t xml:space="preserve">fischbein1997evolution</t>
  </si>
  <si>
    <t xml:space="preserve">Probability and statistics</t>
  </si>
  <si>
    <t xml:space="preserve">PRB-02</t>
  </si>
  <si>
    <t xml:space="preserve">Comparing chances</t>
  </si>
  <si>
    <t xml:space="preserve">More black marbles means higher chance</t>
  </si>
  <si>
    <t xml:space="preserve">The absolute count is used instead of the proportion.</t>
  </si>
  <si>
    <t xml:space="preserve">Jar 1 has 6 black marbles out of 8. Jar 2 has 3 black marbles out of 4. Which jar gives the higher chance of drawing black?</t>
  </si>
  <si>
    <t xml:space="preserve">Both are equal (3/4).</t>
  </si>
  <si>
    <t xml:space="preserve">Jar 1, because it has more black marbles.</t>
  </si>
  <si>
    <t xml:space="preserve">An intuitive rule: more of one quantity (black marbles) means more of another (chance).</t>
  </si>
  <si>
    <t xml:space="preserve">Counts by strand and evidence strength</t>
  </si>
  <si>
    <t xml:space="preserve">Total</t>
  </si>
  <si>
    <t xml:space="preserve">Check: rows on Misconceptions sheet</t>
  </si>
  <si>
    <t xml:space="preserve">Check: total matches</t>
  </si>
  <si>
    <t xml:space="preserve">Note: 'Proportion and geometry' holds scaling and area/perimeter items; 'Geometry' holds shape-definition items.</t>
  </si>
  <si>
    <t xml:space="preserve">Item ID</t>
  </si>
  <si>
    <t xml:space="preserve">Misconception ID</t>
  </si>
  <si>
    <t xml:space="preserve">Misconception (auto)</t>
  </si>
  <si>
    <t xml:space="preserve">Stem (Finnish)</t>
  </si>
  <si>
    <t xml:space="preserve">Distractor A (targets the misconception)</t>
  </si>
  <si>
    <t xml:space="preserve">Distractor B</t>
  </si>
  <si>
    <t xml:space="preserve">Distractor C</t>
  </si>
  <si>
    <t xml:space="preserve">Finnish curriculum item</t>
  </si>
  <si>
    <t xml:space="preserve">Status</t>
  </si>
  <si>
    <t xml:space="preserve">Reviewer</t>
  </si>
  <si>
    <t xml:space="preserve">Notes</t>
  </si>
  <si>
    <t xml:space="preserve">ITM-001</t>
  </si>
  <si>
    <t xml:space="preserve">Täytä laatikko: 8 + 4 = □ + 5</t>
  </si>
  <si>
    <t xml:space="preserve">12</t>
  </si>
  <si>
    <t xml:space="preserve">17</t>
  </si>
  <si>
    <t xml:space="preserve">(fill in from curriculum)</t>
  </si>
  <si>
    <t xml:space="preserve">Draft</t>
  </si>
  <si>
    <t xml:space="preserve">(name)</t>
  </si>
  <si>
    <t xml:space="preserve">EXAMPLE ROW: replace or delete. Distractor A is the operational-'=' answer.</t>
  </si>
  <si>
    <t xml:space="preserve">Legend: yellow cells with blue text are for you to fill. Column C is a formula and fills itself when you choose a misconception ID in column B. Row 2 is an example row.</t>
  </si>
  <si>
    <t xml:space="preserve">Key</t>
  </si>
  <si>
    <t xml:space="preserve">Short citation</t>
  </si>
  <si>
    <t xml:space="preserve">Title</t>
  </si>
  <si>
    <t xml:space="preserve">Venue and details</t>
  </si>
  <si>
    <t xml:space="preserve">DOI / note</t>
  </si>
  <si>
    <t xml:space="preserve">Cited by (count of misconception rows)</t>
  </si>
  <si>
    <t xml:space="preserve">awawdehshahbari2021cognitive</t>
  </si>
  <si>
    <t xml:space="preserve">Awawdeh Shahbari (2021)</t>
  </si>
  <si>
    <t xml:space="preserve">Cognitive Conflict in Technological Environment: Cognitive Process and Emotions through Intuitive Errors in Area, Perimeter and Volume</t>
  </si>
  <si>
    <t xml:space="preserve">Mathematics, 9(14), 1672</t>
  </si>
  <si>
    <t xml:space="preserve">https://doi.org/10.3390/math9141672</t>
  </si>
  <si>
    <t xml:space="preserve">beichner1994testing</t>
  </si>
  <si>
    <t xml:space="preserve">Beichner (1994)</t>
  </si>
  <si>
    <t xml:space="preserve">Testing Student Interpretation of Kinematics Graphs</t>
  </si>
  <si>
    <t xml:space="preserve">American Journal of Physics, 62(8), 750–762</t>
  </si>
  <si>
    <t xml:space="preserve">https://doi.org/10.1119/1.17449</t>
  </si>
  <si>
    <t xml:space="preserve">booth2014persistent</t>
  </si>
  <si>
    <t xml:space="preserve">Booth et al. (2014)</t>
  </si>
  <si>
    <t xml:space="preserve">Persistent and Pernicious Errors in Algebraic Problem Solving</t>
  </si>
  <si>
    <t xml:space="preserve">Journal of Problem Solving, 7(1), 10–23</t>
  </si>
  <si>
    <t xml:space="preserve">https://doi.org/10.7771/1932-6246.1161</t>
  </si>
  <si>
    <t xml:space="preserve">bush2013prerequisite</t>
  </si>
  <si>
    <t xml:space="preserve">Bush &amp; Karp (2013)</t>
  </si>
  <si>
    <t xml:space="preserve">Prerequisite Algebra Skills and Associated Misconceptions of Middle Grade Students: A Review</t>
  </si>
  <si>
    <t xml:space="preserve">The Journal of Mathematical Behavior, 32(3), 613–632</t>
  </si>
  <si>
    <t xml:space="preserve">https://doi.org/10.1016/j.jmathb.2013.07.002</t>
  </si>
  <si>
    <t xml:space="preserve">clement1981translation</t>
  </si>
  <si>
    <t xml:space="preserve">Clement et al. (1981)</t>
  </si>
  <si>
    <t xml:space="preserve">Translation Difficulties in Learning Mathematics</t>
  </si>
  <si>
    <t xml:space="preserve">The American Mathematical Monthly, 88(4), 286–290</t>
  </si>
  <si>
    <t xml:space="preserve">https://doi.org/10.2307/2320560</t>
  </si>
  <si>
    <t xml:space="preserve">clement1982algebra</t>
  </si>
  <si>
    <t xml:space="preserve">Clement (1982)</t>
  </si>
  <si>
    <t xml:space="preserve">Algebra Word Problem Solutions: Thought Processes Underlying a Common Misconception</t>
  </si>
  <si>
    <t xml:space="preserve">Journal for Research in Mathematics Education, 13(1), 16–30</t>
  </si>
  <si>
    <t xml:space="preserve">https://doi.org/10.2307/748434</t>
  </si>
  <si>
    <t xml:space="preserve">clement1985misconceptions</t>
  </si>
  <si>
    <t xml:space="preserve">Clement (1985)</t>
  </si>
  <si>
    <t xml:space="preserve">Misconceptions in Graphing</t>
  </si>
  <si>
    <t xml:space="preserve">In Proceedings of the Ninth International Conference for the Psychology of Mathematics Education, ed. Streefland, vol. 1, 369–375</t>
  </si>
  <si>
    <t xml:space="preserve">debock2002improper</t>
  </si>
  <si>
    <t xml:space="preserve">De Bock et al. (2002)</t>
  </si>
  <si>
    <t xml:space="preserve">Improper Use of Linear Reasoning: An In-Depth Study of the Nature and the Irresistibility of Secondary School Students' Errors</t>
  </si>
  <si>
    <t xml:space="preserve">Educational Studies in Mathematics, 50(3), 311–334</t>
  </si>
  <si>
    <t xml:space="preserve">https://doi.org/10.1023/A:1021205413749</t>
  </si>
  <si>
    <t xml:space="preserve">Fischbein &amp; Schnarch (1997)</t>
  </si>
  <si>
    <t xml:space="preserve">The Evolution with Age of Probabilistic, Intuitively Based Misconceptions</t>
  </si>
  <si>
    <t xml:space="preserve">Journal for Research in Mathematics Education, 28(1), 96–105</t>
  </si>
  <si>
    <t xml:space="preserve">fujita2007learners</t>
  </si>
  <si>
    <t xml:space="preserve">Fujita &amp; Jones (2007)</t>
  </si>
  <si>
    <t xml:space="preserve">Learners' Understanding of the Definitions and Hierarchical Classification of Quadrilaterals: Towards a Theoretical Framing</t>
  </si>
  <si>
    <t xml:space="preserve">Research in Mathematics Education, 9(1--2), 3–20</t>
  </si>
  <si>
    <t xml:space="preserve">https://doi.org/10.1080/14794800008520167</t>
  </si>
  <si>
    <t xml:space="preserve">fujita2012learners</t>
  </si>
  <si>
    <t xml:space="preserve">Fujita (2012)</t>
  </si>
  <si>
    <t xml:space="preserve">Learners' Level of Understanding of the Inclusion Relations of Quadrilaterals and Prototype Phenomenon</t>
  </si>
  <si>
    <t xml:space="preserve">The Journal of Mathematical Behavior, 31(1), 60–72</t>
  </si>
  <si>
    <t xml:space="preserve">https://doi.org/10.1016/j.jmathb.2011.08.003</t>
  </si>
  <si>
    <t xml:space="preserve">heinze2002quadrat</t>
  </si>
  <si>
    <t xml:space="preserve">Heinze (2002)</t>
  </si>
  <si>
    <t xml:space="preserve">“… aber ein Quadrat ist kein Rechteck” – Schülerschwierigkeiten beim Verwenden einfacher geometrischer Begriffe in Jahrgang 8</t>
  </si>
  <si>
    <t xml:space="preserve">Zentralblatt für Didaktik der Mathematik, 34(2), 51–55</t>
  </si>
  <si>
    <t xml:space="preserve">https://doi.org/10.1007/BF02655704</t>
  </si>
  <si>
    <t xml:space="preserve">Joutsenlahti &amp; Perkkilä (2024)</t>
  </si>
  <si>
    <t xml:space="preserve">Mastery of the Concept of Percentage and Its Representations in Finnish Comprehensive School Grades 7–9</t>
  </si>
  <si>
    <t xml:space="preserve">Education Sciences, 14(10), 1043</t>
  </si>
  <si>
    <t xml:space="preserve">https://doi.org/10.3390/educsci14101043</t>
  </si>
  <si>
    <t xml:space="preserve">kieran1981equality</t>
  </si>
  <si>
    <t xml:space="preserve">Kieran (1981)</t>
  </si>
  <si>
    <t xml:space="preserve">Concepts Associated with the Equality Symbol</t>
  </si>
  <si>
    <t xml:space="preserve">Educational Studies in Mathematics, 12(3), 317–326</t>
  </si>
  <si>
    <t xml:space="preserve">https://doi.org/10.1007/BF00311062</t>
  </si>
  <si>
    <t xml:space="preserve">kieran2007learning</t>
  </si>
  <si>
    <t xml:space="preserve">Kieran (2007)</t>
  </si>
  <si>
    <t xml:space="preserve">Learning and Teaching Algebra at the Middle School through College Levels: Building Meaning for Symbols and Their Manipulation</t>
  </si>
  <si>
    <t xml:space="preserve">In Second Handbook of Research on Mathematics Teaching and Learning, ed. Lester, 707–762</t>
  </si>
  <si>
    <t xml:space="preserve">klingbeil2025omnipresence</t>
  </si>
  <si>
    <t xml:space="preserve">Klingbeil &amp; Moons (2025)</t>
  </si>
  <si>
    <t xml:space="preserve">The Omnipresence of the Letter-as-Object Misconception: A Multilevel Latent Transition Analysis on Understanding Variables</t>
  </si>
  <si>
    <t xml:space="preserve">Educational Studies in Mathematics, 120(3), 455–476</t>
  </si>
  <si>
    <t xml:space="preserve">https://doi.org/10.1007/s10649-025-10428-7</t>
  </si>
  <si>
    <t xml:space="preserve">knuth2006equal</t>
  </si>
  <si>
    <t xml:space="preserve">Knuth et al. (2006)</t>
  </si>
  <si>
    <t xml:space="preserve">Does Understanding the Equal Sign Matter? Evidence from Solving Equations</t>
  </si>
  <si>
    <t xml:space="preserve">Journal for Research in Mathematics Education, 37(4), 297–312</t>
  </si>
  <si>
    <t xml:space="preserve">Küchemann (1981)</t>
  </si>
  <si>
    <t xml:space="preserve">In Children's Understanding of Mathematics: 11–16, ed. Hart, 102–119</t>
  </si>
  <si>
    <t xml:space="preserve">leinhardt1990functions</t>
  </si>
  <si>
    <t xml:space="preserve">Leinhardt et al. (1990)</t>
  </si>
  <si>
    <t xml:space="preserve">Functions, Graphs, and Graphing: Tasks, Learning, and Teaching</t>
  </si>
  <si>
    <t xml:space="preserve">Review of Educational Research, 60(1), 1–64</t>
  </si>
  <si>
    <t xml:space="preserve">MacGregor &amp; Stacey (1997)</t>
  </si>
  <si>
    <t xml:space="preserve">Students' Understanding of Algebraic Notation: 11–15</t>
  </si>
  <si>
    <t xml:space="preserve">Educational Studies in Mathematics, 33(1), 1–19</t>
  </si>
  <si>
    <t xml:space="preserve">https://doi.org/10.1023/A:1002970913563</t>
  </si>
  <si>
    <t xml:space="preserve">matz1982process</t>
  </si>
  <si>
    <t xml:space="preserve">Matz (1982)</t>
  </si>
  <si>
    <t xml:space="preserve">Towards a Process Model for High School Algebra Errors</t>
  </si>
  <si>
    <t xml:space="preserve">In Intelligent Tutoring Systems, ed. Sleeman; Brown, 25–50</t>
  </si>
  <si>
    <t xml:space="preserve">merenluoto2004number</t>
  </si>
  <si>
    <t xml:space="preserve">Merenluoto &amp; Lehtinen (2004)</t>
  </si>
  <si>
    <t xml:space="preserve">Number Concept and Conceptual Change: Towards a Systemic Model of the Processes of Change</t>
  </si>
  <si>
    <t xml:space="preserve">Learning and Instruction, 14(5), 519–534</t>
  </si>
  <si>
    <t xml:space="preserve">https://doi.org/10.1016/j.learninstruc.2004.06.016</t>
  </si>
  <si>
    <t xml:space="preserve">ni2005whole</t>
  </si>
  <si>
    <t xml:space="preserve">Ni &amp; Zhou (2005)</t>
  </si>
  <si>
    <t xml:space="preserve">Teaching and Learning Fraction and Rational Numbers: The Origins and Implications of Whole Number Bias</t>
  </si>
  <si>
    <t xml:space="preserve">Educational Psychologist, 40(1), 27–52</t>
  </si>
  <si>
    <t xml:space="preserve">https://doi.org/10.1207/s15326985ep4001_3</t>
  </si>
  <si>
    <t xml:space="preserve">planinic2012comparison</t>
  </si>
  <si>
    <t xml:space="preserve">Planinić et al. (2012)</t>
  </si>
  <si>
    <t xml:space="preserve">Comparison of Student Understanding of Line Graph Slope in Physics and Mathematics</t>
  </si>
  <si>
    <t xml:space="preserve">International Journal of Science and Mathematics Education, 10(6), 1393–1414</t>
  </si>
  <si>
    <t xml:space="preserve">https://doi.org/10.1007/s10763-012-9344-1</t>
  </si>
  <si>
    <t xml:space="preserve">shahbari2015resolving</t>
  </si>
  <si>
    <t xml:space="preserve">Awawdeh Shahbari &amp; Peled (2015)</t>
  </si>
  <si>
    <t xml:space="preserve">Resolving Cognitive Conflict in a Realistic Situation with Modeling Characteristics: Coping with a Changing Reference in Fractions</t>
  </si>
  <si>
    <t xml:space="preserve">International Journal of Science and Mathematics Education, 13(4), 891–907</t>
  </si>
  <si>
    <t xml:space="preserve">https://doi.org/10.1007/s10763-014-9509-1</t>
  </si>
  <si>
    <t xml:space="preserve">siegler2015conceptual</t>
  </si>
  <si>
    <t xml:space="preserve">Siegler &amp; Lortie-Forgues (2015)</t>
  </si>
  <si>
    <t xml:space="preserve">Conceptual Knowledge of Fraction Arithmetic</t>
  </si>
  <si>
    <t xml:space="preserve">Journal of Educational Psychology, 107(3), 909–918</t>
  </si>
  <si>
    <t xml:space="preserve">https://doi.org/10.1037/edu0000025</t>
  </si>
  <si>
    <t xml:space="preserve">siegler2017hard</t>
  </si>
  <si>
    <t xml:space="preserve">Siegler &amp; Lortie-Forgues (2017)</t>
  </si>
  <si>
    <t xml:space="preserve">Hard Lessons: Why Rational Number Arithmetic Is So Difficult for So Many People</t>
  </si>
  <si>
    <t xml:space="preserve">Current Directions in Psychological Science, 26(4), 346–351</t>
  </si>
  <si>
    <t xml:space="preserve">https://doi.org/10.1177/0963721417700129</t>
  </si>
  <si>
    <t xml:space="preserve">silfverberg1999geometrisen</t>
  </si>
  <si>
    <t xml:space="preserve">Silfverberg (1999)</t>
  </si>
  <si>
    <t xml:space="preserve">Peruskoulun yläasteen oppilaan geometrinen käsitetieto</t>
  </si>
  <si>
    <t xml:space="preserve">University of Tampere (doctoral thesis)</t>
  </si>
  <si>
    <t xml:space="preserve">https://trepo.tuni.fi/bitstream/handle/10024/66665/951-44-4718-2.pdf?sequence=1  |  Note: Acta Electronica Universitatis Tamperensis 6; ISBN 951-44-4718-2; includes an English summary.</t>
  </si>
  <si>
    <t xml:space="preserve">silfverberg2019geometrical</t>
  </si>
  <si>
    <t xml:space="preserve">Silfverberg (2019)</t>
  </si>
  <si>
    <t xml:space="preserve">Geometrical Conceptualization</t>
  </si>
  <si>
    <t xml:space="preserve">In International Handbook of Mathematical Learning Difficulties: From the Laboratory to the Classroom, ed. Fritz; Haase; Räsänen, 611–630</t>
  </si>
  <si>
    <t xml:space="preserve">https://doi.org/10.1007/978-3-319-97148-3_36</t>
  </si>
  <si>
    <t xml:space="preserve">stavy2000how</t>
  </si>
  <si>
    <t xml:space="preserve">Stavy &amp; Tirosh (2000)</t>
  </si>
  <si>
    <t xml:space="preserve">How Students (Mis-)Understand Science and Mathematics: Intuitive Rules</t>
  </si>
  <si>
    <t xml:space="preserve">Teachers College Press</t>
  </si>
  <si>
    <t xml:space="preserve">steinle2004changes</t>
  </si>
  <si>
    <t xml:space="preserve">Steinle (2004)</t>
  </si>
  <si>
    <t xml:space="preserve">Changes with Age in Students' Misconceptions of Decimal Numbers</t>
  </si>
  <si>
    <t xml:space="preserve">University of Melbourne (doctoral thesis)</t>
  </si>
  <si>
    <t xml:space="preserve">steinle2004longitudinal</t>
  </si>
  <si>
    <t xml:space="preserve">Steinle &amp; Stacey (2004)</t>
  </si>
  <si>
    <t xml:space="preserve">A Longitudinal Study of Students' Understanding of Decimal Notation: An Overview and Refined Results</t>
  </si>
  <si>
    <t xml:space="preserve">In Mathematics Education for the Third Millennium: Towards 2010. Proceedings of the 27th Annual Conference of the Mathematics Education Research Group of Australasia, ed. Putt; Faragher; McLean, vol. 2, 541–548</t>
  </si>
  <si>
    <t xml:space="preserve">steinle2004persistence</t>
  </si>
  <si>
    <t xml:space="preserve">Persistence of Decimal Misconceptions and Readiness to Move to Expertise</t>
  </si>
  <si>
    <t xml:space="preserve">In Proceedings of the 28th Conference of the International Group for the Psychology of Mathematics Education, ed. Høines; Fuglestad, vol. 4, 225–232</t>
  </si>
  <si>
    <t xml:space="preserve">tirosh1999intuitive</t>
  </si>
  <si>
    <t xml:space="preserve">Tirosh &amp; Stavy (1999)</t>
  </si>
  <si>
    <t xml:space="preserve">Intuitive Rules: A Way to Explain and Predict Students' Reasoning</t>
  </si>
  <si>
    <t xml:space="preserve">Educational Studies in Mathematics, 38, 51–66</t>
  </si>
  <si>
    <t xml:space="preserve">https://doi.org/10.1023/A:1003436313032</t>
  </si>
  <si>
    <t xml:space="preserve">vamvakoussi2010many</t>
  </si>
  <si>
    <t xml:space="preserve">Vamvakoussi &amp; Vosniadou (2010)</t>
  </si>
  <si>
    <t xml:space="preserve">How Many Decimals Are There between Two Fractions? Aspects of Secondary School Students' Understanding of Rational Numbers and Their Notation</t>
  </si>
  <si>
    <t xml:space="preserve">Cognition and Instruction, 28(2), 181–209</t>
  </si>
  <si>
    <t xml:space="preserve">https://doi.org/10.1080/07370001003676603</t>
  </si>
  <si>
    <t xml:space="preserve">vandooren2008linear</t>
  </si>
  <si>
    <t xml:space="preserve">Van Dooren et al. (2008)</t>
  </si>
  <si>
    <t xml:space="preserve">The Linear Imperative: An Inventory and Conceptual Analysis of Students' Overuse of Linearity</t>
  </si>
  <si>
    <t xml:space="preserve">Journal for Research in Mathematics Education, 39(3), 311–342</t>
  </si>
  <si>
    <t xml:space="preserve">vanhoof2015inappropriately</t>
  </si>
  <si>
    <t xml:space="preserve">Van Hoof et al. (2015)</t>
  </si>
  <si>
    <t xml:space="preserve">Inappropriately Applying Natural Number Properties in Rational Number Tasks: Characterizing the Development of the Natural Number Bias through Primary and Secondary Education</t>
  </si>
  <si>
    <t xml:space="preserve">Educational Studies in Mathematics, 90(1), 39–56</t>
  </si>
  <si>
    <t xml:space="preserve">https://doi.org/10.1007/s10649-015-9613-3</t>
  </si>
  <si>
    <t xml:space="preserve">vinner1989images</t>
  </si>
  <si>
    <t xml:space="preserve">Vinner &amp; Dreyfus (1989)</t>
  </si>
  <si>
    <t xml:space="preserve">Images and Definitions for the Concept of Function</t>
  </si>
  <si>
    <t xml:space="preserve">Journal for Research in Mathematics Education, 20(4), 356–366</t>
  </si>
  <si>
    <t xml:space="preserve">Vlassis (2004)</t>
  </si>
  <si>
    <t xml:space="preserve">Making Sense of the Minus Sign or Becoming Flexible in “Negativity”</t>
  </si>
  <si>
    <t xml:space="preserve">Learning and Instruction, 14(5), 469–484</t>
  </si>
  <si>
    <t xml:space="preserve">https://doi.org/10.1016/j.learninstruc.2004.06.012</t>
  </si>
  <si>
    <t xml:space="preserve">Zaslavsky et al. (2002)</t>
  </si>
  <si>
    <t xml:space="preserve">Being Sloppy about Slope: The Effect of Changing the Scale</t>
  </si>
  <si>
    <t xml:space="preserve">Educational Studies in Mathematics, 49(1), 119–140</t>
  </si>
  <si>
    <t xml:space="preserve">https://doi.org/10.1023/A:1016093305002</t>
  </si>
  <si>
    <t xml:space="preserve">Sources are parsed from math_misconceptions_grades7-9.bib; see that file for all 85 entries and verification notes.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</si>
</sst>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2"/>
      <color rgb="FF1F3A5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4F6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4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2CC"/>
      <rgbColor rgb="FF808080"/>
      <rgbColor rgb="FF9999FF"/>
      <rgbColor rgb="FF993366"/>
      <rgbColor rgb="FFF4F6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0"/>
  </cols>
  <sheetData>
    <row r="1" customFormat="false" ht="17.35" hidden="false" customHeight="false" outlineLevel="0" collapsed="false">
      <c r="A1" s="2" t="s">
        <v>0</v>
      </c>
    </row>
    <row r="3" customFormat="false" ht="23.85" hidden="false" customHeight="false" outlineLevel="0" collapsed="false">
      <c r="A3" s="3" t="s">
        <v>1</v>
      </c>
      <c r="B3" s="4" t="s">
        <v>2</v>
      </c>
    </row>
    <row r="4" customFormat="false" ht="23.85" hidden="false" customHeight="false" outlineLevel="0" collapsed="false">
      <c r="A4" s="3" t="s">
        <v>3</v>
      </c>
      <c r="B4" s="4" t="s">
        <v>4</v>
      </c>
    </row>
    <row r="5" customFormat="false" ht="23.85" hidden="false" customHeight="false" outlineLevel="0" collapsed="false">
      <c r="A5" s="3" t="s">
        <v>5</v>
      </c>
      <c r="B5" s="4" t="s">
        <v>6</v>
      </c>
    </row>
    <row r="6" customFormat="false" ht="35.0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 t="s">
        <v>11</v>
      </c>
      <c r="B8" s="4" t="s">
        <v>12</v>
      </c>
    </row>
    <row r="9" customFormat="false" ht="23.85" hidden="false" customHeight="false" outlineLevel="0" collapsed="false">
      <c r="A9" s="3" t="s">
        <v>13</v>
      </c>
      <c r="B9" s="4" t="s">
        <v>14</v>
      </c>
    </row>
    <row r="10" customFormat="false" ht="23.85" hidden="false" customHeight="false" outlineLevel="0" collapsed="false">
      <c r="A10" s="3" t="s">
        <v>15</v>
      </c>
      <c r="B10" s="4" t="s">
        <v>16</v>
      </c>
    </row>
    <row r="11" customFormat="false" ht="35.05" hidden="false" customHeight="false" outlineLevel="0" collapsed="false">
      <c r="A11" s="3" t="s">
        <v>17</v>
      </c>
      <c r="B11" s="4" t="s">
        <v>18</v>
      </c>
    </row>
    <row r="12" customFormat="false" ht="23.85" hidden="false" customHeight="false" outlineLevel="0" collapsed="false">
      <c r="A12" s="3" t="s">
        <v>19</v>
      </c>
      <c r="B12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40"/>
    <col collapsed="false" customWidth="true" hidden="false" outlineLevel="0" max="6" min="6" style="1" width="52"/>
    <col collapsed="false" customWidth="true" hidden="false" outlineLevel="0" max="7" min="7" style="1" width="30"/>
    <col collapsed="false" customWidth="true" hidden="false" outlineLevel="0" max="8" min="8" style="1" width="32"/>
    <col collapsed="false" customWidth="true" hidden="false" outlineLevel="0" max="10" min="9" style="1" width="40"/>
    <col collapsed="false" customWidth="true" hidden="false" outlineLevel="0" max="11" min="11" style="1" width="12"/>
    <col collapsed="false" customWidth="true" hidden="false" outlineLevel="0" max="12" min="12" style="1" width="40"/>
    <col collapsed="false" customWidth="true" hidden="false" outlineLevel="0" max="13" min="13" style="1" width="20"/>
    <col collapsed="false" customWidth="true" hidden="false" outlineLevel="0" max="14" min="14" style="1" width="30"/>
  </cols>
  <sheetData>
    <row r="1" customFormat="false" ht="23.85" hidden="false" customHeight="false" outlineLevel="0" collapsed="false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5" t="s">
        <v>34</v>
      </c>
    </row>
    <row r="2" customFormat="false" ht="35.05" hidden="false" customHeight="false" outlineLevel="0" collapsed="false">
      <c r="A2" s="6" t="s">
        <v>35</v>
      </c>
      <c r="B2" s="6" t="s">
        <v>36</v>
      </c>
      <c r="C2" s="6" t="s">
        <v>37</v>
      </c>
      <c r="D2" s="6" t="s">
        <v>38</v>
      </c>
      <c r="E2" s="6" t="s">
        <v>39</v>
      </c>
      <c r="F2" s="6" t="s">
        <v>40</v>
      </c>
      <c r="G2" s="6" t="s">
        <v>41</v>
      </c>
      <c r="H2" s="6" t="s">
        <v>42</v>
      </c>
      <c r="I2" s="6" t="s">
        <v>43</v>
      </c>
      <c r="J2" s="6" t="s">
        <v>44</v>
      </c>
      <c r="K2" s="6" t="s">
        <v>45</v>
      </c>
      <c r="L2" s="6" t="s">
        <v>46</v>
      </c>
      <c r="M2" s="6" t="s">
        <v>47</v>
      </c>
      <c r="N2" s="7"/>
    </row>
    <row r="3" customFormat="false" ht="35.05" hidden="false" customHeight="false" outlineLevel="0" collapsed="false">
      <c r="A3" s="8" t="s">
        <v>48</v>
      </c>
      <c r="B3" s="8" t="s">
        <v>36</v>
      </c>
      <c r="C3" s="8" t="s">
        <v>37</v>
      </c>
      <c r="D3" s="8" t="s">
        <v>49</v>
      </c>
      <c r="E3" s="8" t="s">
        <v>50</v>
      </c>
      <c r="F3" s="8" t="s">
        <v>51</v>
      </c>
      <c r="G3" s="8" t="s">
        <v>52</v>
      </c>
      <c r="H3" s="8" t="s">
        <v>53</v>
      </c>
      <c r="I3" s="8" t="s">
        <v>54</v>
      </c>
      <c r="J3" s="8" t="s">
        <v>55</v>
      </c>
      <c r="K3" s="8" t="s">
        <v>56</v>
      </c>
      <c r="L3" s="8" t="s">
        <v>57</v>
      </c>
      <c r="M3" s="8" t="s">
        <v>47</v>
      </c>
      <c r="N3" s="7"/>
    </row>
    <row r="4" customFormat="false" ht="35.05" hidden="false" customHeight="false" outlineLevel="0" collapsed="false">
      <c r="A4" s="6" t="s">
        <v>58</v>
      </c>
      <c r="B4" s="6" t="s">
        <v>36</v>
      </c>
      <c r="C4" s="6" t="s">
        <v>37</v>
      </c>
      <c r="D4" s="6" t="s">
        <v>59</v>
      </c>
      <c r="E4" s="6" t="s">
        <v>60</v>
      </c>
      <c r="F4" s="6" t="s">
        <v>61</v>
      </c>
      <c r="G4" s="6" t="s">
        <v>62</v>
      </c>
      <c r="H4" s="6" t="s">
        <v>63</v>
      </c>
      <c r="I4" s="6" t="s">
        <v>64</v>
      </c>
      <c r="J4" s="6" t="s">
        <v>65</v>
      </c>
      <c r="K4" s="6" t="s">
        <v>66</v>
      </c>
      <c r="L4" s="6" t="s">
        <v>67</v>
      </c>
      <c r="M4" s="6" t="s">
        <v>47</v>
      </c>
      <c r="N4" s="7"/>
    </row>
    <row r="5" customFormat="false" ht="35.05" hidden="false" customHeight="false" outlineLevel="0" collapsed="false">
      <c r="A5" s="8" t="s">
        <v>68</v>
      </c>
      <c r="B5" s="8" t="s">
        <v>36</v>
      </c>
      <c r="C5" s="8" t="s">
        <v>69</v>
      </c>
      <c r="D5" s="8" t="s">
        <v>70</v>
      </c>
      <c r="E5" s="8" t="s">
        <v>71</v>
      </c>
      <c r="F5" s="8" t="s">
        <v>72</v>
      </c>
      <c r="G5" s="8" t="s">
        <v>73</v>
      </c>
      <c r="H5" s="8" t="s">
        <v>74</v>
      </c>
      <c r="I5" s="8" t="s">
        <v>75</v>
      </c>
      <c r="J5" s="8" t="s">
        <v>76</v>
      </c>
      <c r="K5" s="8" t="s">
        <v>56</v>
      </c>
      <c r="L5" s="8" t="s">
        <v>77</v>
      </c>
      <c r="M5" s="8" t="s">
        <v>47</v>
      </c>
      <c r="N5" s="7"/>
    </row>
    <row r="6" customFormat="false" ht="35.05" hidden="false" customHeight="false" outlineLevel="0" collapsed="false">
      <c r="A6" s="6" t="s">
        <v>78</v>
      </c>
      <c r="B6" s="6" t="s">
        <v>36</v>
      </c>
      <c r="C6" s="6" t="s">
        <v>69</v>
      </c>
      <c r="D6" s="6" t="s">
        <v>79</v>
      </c>
      <c r="E6" s="6" t="s">
        <v>80</v>
      </c>
      <c r="F6" s="6" t="s">
        <v>81</v>
      </c>
      <c r="G6" s="6" t="s">
        <v>82</v>
      </c>
      <c r="H6" s="6" t="s">
        <v>83</v>
      </c>
      <c r="I6" s="6" t="s">
        <v>84</v>
      </c>
      <c r="J6" s="6" t="s">
        <v>85</v>
      </c>
      <c r="K6" s="6" t="s">
        <v>56</v>
      </c>
      <c r="L6" s="6" t="s">
        <v>86</v>
      </c>
      <c r="M6" s="6" t="s">
        <v>47</v>
      </c>
      <c r="N6" s="7"/>
    </row>
    <row r="7" customFormat="false" ht="23.85" hidden="false" customHeight="false" outlineLevel="0" collapsed="false">
      <c r="A7" s="8" t="s">
        <v>87</v>
      </c>
      <c r="B7" s="8" t="s">
        <v>36</v>
      </c>
      <c r="C7" s="8" t="s">
        <v>88</v>
      </c>
      <c r="D7" s="8" t="s">
        <v>89</v>
      </c>
      <c r="E7" s="8" t="s">
        <v>90</v>
      </c>
      <c r="F7" s="8" t="s">
        <v>91</v>
      </c>
      <c r="G7" s="8" t="s">
        <v>92</v>
      </c>
      <c r="H7" s="8" t="s">
        <v>93</v>
      </c>
      <c r="I7" s="8" t="s">
        <v>94</v>
      </c>
      <c r="J7" s="8" t="s">
        <v>95</v>
      </c>
      <c r="K7" s="8" t="s">
        <v>45</v>
      </c>
      <c r="L7" s="8" t="s">
        <v>96</v>
      </c>
      <c r="M7" s="8" t="s">
        <v>47</v>
      </c>
      <c r="N7" s="7"/>
    </row>
    <row r="8" customFormat="false" ht="23.85" hidden="false" customHeight="false" outlineLevel="0" collapsed="false">
      <c r="A8" s="6" t="s">
        <v>97</v>
      </c>
      <c r="B8" s="6" t="s">
        <v>36</v>
      </c>
      <c r="C8" s="6" t="s">
        <v>98</v>
      </c>
      <c r="D8" s="6" t="s">
        <v>99</v>
      </c>
      <c r="E8" s="6" t="s">
        <v>100</v>
      </c>
      <c r="F8" s="6" t="s">
        <v>101</v>
      </c>
      <c r="G8" s="6" t="s">
        <v>102</v>
      </c>
      <c r="H8" s="6" t="s">
        <v>103</v>
      </c>
      <c r="I8" s="6" t="s">
        <v>104</v>
      </c>
      <c r="J8" s="6" t="s">
        <v>105</v>
      </c>
      <c r="K8" s="6" t="s">
        <v>56</v>
      </c>
      <c r="L8" s="6" t="s">
        <v>106</v>
      </c>
      <c r="M8" s="6" t="s">
        <v>47</v>
      </c>
      <c r="N8" s="7"/>
    </row>
    <row r="9" customFormat="false" ht="23.85" hidden="false" customHeight="false" outlineLevel="0" collapsed="false">
      <c r="A9" s="8" t="s">
        <v>107</v>
      </c>
      <c r="B9" s="8" t="s">
        <v>36</v>
      </c>
      <c r="C9" s="8" t="s">
        <v>108</v>
      </c>
      <c r="D9" s="8" t="s">
        <v>109</v>
      </c>
      <c r="E9" s="8" t="s">
        <v>110</v>
      </c>
      <c r="F9" s="8" t="s">
        <v>111</v>
      </c>
      <c r="G9" s="8" t="s">
        <v>112</v>
      </c>
      <c r="H9" s="8" t="s">
        <v>113</v>
      </c>
      <c r="I9" s="8" t="s">
        <v>114</v>
      </c>
      <c r="J9" s="8" t="s">
        <v>115</v>
      </c>
      <c r="K9" s="8" t="s">
        <v>56</v>
      </c>
      <c r="L9" s="8" t="s">
        <v>116</v>
      </c>
      <c r="M9" s="8" t="s">
        <v>47</v>
      </c>
      <c r="N9" s="7"/>
    </row>
    <row r="10" customFormat="false" ht="23.85" hidden="false" customHeight="false" outlineLevel="0" collapsed="false">
      <c r="A10" s="6" t="s">
        <v>117</v>
      </c>
      <c r="B10" s="6" t="s">
        <v>36</v>
      </c>
      <c r="C10" s="6" t="s">
        <v>118</v>
      </c>
      <c r="D10" s="6" t="s">
        <v>119</v>
      </c>
      <c r="E10" s="6" t="s">
        <v>120</v>
      </c>
      <c r="F10" s="6" t="s">
        <v>121</v>
      </c>
      <c r="G10" s="6" t="s">
        <v>122</v>
      </c>
      <c r="H10" s="6" t="s">
        <v>123</v>
      </c>
      <c r="I10" s="6" t="s">
        <v>124</v>
      </c>
      <c r="J10" s="6" t="s">
        <v>115</v>
      </c>
      <c r="K10" s="6" t="s">
        <v>56</v>
      </c>
      <c r="L10" s="6" t="s">
        <v>116</v>
      </c>
      <c r="M10" s="6" t="s">
        <v>47</v>
      </c>
      <c r="N10" s="7"/>
    </row>
    <row r="11" customFormat="false" ht="23.85" hidden="false" customHeight="false" outlineLevel="0" collapsed="false">
      <c r="A11" s="8" t="s">
        <v>125</v>
      </c>
      <c r="B11" s="8" t="s">
        <v>36</v>
      </c>
      <c r="C11" s="8" t="s">
        <v>126</v>
      </c>
      <c r="D11" s="8" t="s">
        <v>127</v>
      </c>
      <c r="E11" s="8" t="s">
        <v>128</v>
      </c>
      <c r="F11" s="8" t="s">
        <v>129</v>
      </c>
      <c r="G11" s="8" t="s">
        <v>130</v>
      </c>
      <c r="H11" s="8" t="s">
        <v>131</v>
      </c>
      <c r="I11" s="8" t="s">
        <v>132</v>
      </c>
      <c r="J11" s="8" t="s">
        <v>133</v>
      </c>
      <c r="K11" s="8" t="s">
        <v>45</v>
      </c>
      <c r="L11" s="8" t="s">
        <v>134</v>
      </c>
      <c r="M11" s="8" t="s">
        <v>47</v>
      </c>
      <c r="N11" s="7"/>
    </row>
    <row r="12" customFormat="false" ht="23.85" hidden="false" customHeight="false" outlineLevel="0" collapsed="false">
      <c r="A12" s="6" t="s">
        <v>135</v>
      </c>
      <c r="B12" s="6" t="s">
        <v>36</v>
      </c>
      <c r="C12" s="6" t="s">
        <v>136</v>
      </c>
      <c r="D12" s="6" t="s">
        <v>137</v>
      </c>
      <c r="E12" s="6" t="s">
        <v>138</v>
      </c>
      <c r="F12" s="6" t="s">
        <v>139</v>
      </c>
      <c r="G12" s="6" t="s">
        <v>140</v>
      </c>
      <c r="H12" s="6" t="s">
        <v>141</v>
      </c>
      <c r="I12" s="6" t="s">
        <v>142</v>
      </c>
      <c r="J12" s="6" t="s">
        <v>143</v>
      </c>
      <c r="K12" s="6" t="s">
        <v>56</v>
      </c>
      <c r="L12" s="6" t="s">
        <v>144</v>
      </c>
      <c r="M12" s="6" t="s">
        <v>47</v>
      </c>
      <c r="N12" s="7"/>
    </row>
    <row r="13" customFormat="false" ht="23.85" hidden="false" customHeight="false" outlineLevel="0" collapsed="false">
      <c r="A13" s="8" t="s">
        <v>145</v>
      </c>
      <c r="B13" s="8" t="s">
        <v>36</v>
      </c>
      <c r="C13" s="8" t="s">
        <v>136</v>
      </c>
      <c r="D13" s="8" t="s">
        <v>146</v>
      </c>
      <c r="E13" s="8" t="s">
        <v>147</v>
      </c>
      <c r="F13" s="8" t="s">
        <v>148</v>
      </c>
      <c r="G13" s="8" t="s">
        <v>92</v>
      </c>
      <c r="H13" s="8" t="s">
        <v>149</v>
      </c>
      <c r="I13" s="8" t="s">
        <v>150</v>
      </c>
      <c r="J13" s="8" t="s">
        <v>151</v>
      </c>
      <c r="K13" s="8" t="s">
        <v>66</v>
      </c>
      <c r="L13" s="8" t="s">
        <v>144</v>
      </c>
      <c r="M13" s="8" t="s">
        <v>47</v>
      </c>
      <c r="N13" s="7"/>
    </row>
    <row r="14" customFormat="false" ht="23.85" hidden="false" customHeight="false" outlineLevel="0" collapsed="false">
      <c r="A14" s="6" t="s">
        <v>152</v>
      </c>
      <c r="B14" s="6" t="s">
        <v>153</v>
      </c>
      <c r="C14" s="6" t="s">
        <v>154</v>
      </c>
      <c r="D14" s="6" t="s">
        <v>155</v>
      </c>
      <c r="E14" s="6" t="s">
        <v>156</v>
      </c>
      <c r="F14" s="6" t="s">
        <v>157</v>
      </c>
      <c r="G14" s="6" t="s">
        <v>158</v>
      </c>
      <c r="H14" s="6" t="s">
        <v>159</v>
      </c>
      <c r="I14" s="6" t="s">
        <v>160</v>
      </c>
      <c r="J14" s="6" t="s">
        <v>161</v>
      </c>
      <c r="K14" s="6" t="s">
        <v>45</v>
      </c>
      <c r="L14" s="6" t="s">
        <v>162</v>
      </c>
      <c r="M14" s="6" t="s">
        <v>163</v>
      </c>
      <c r="N14" s="7"/>
    </row>
    <row r="15" customFormat="false" ht="23.85" hidden="false" customHeight="false" outlineLevel="0" collapsed="false">
      <c r="A15" s="8" t="s">
        <v>164</v>
      </c>
      <c r="B15" s="8" t="s">
        <v>153</v>
      </c>
      <c r="C15" s="8" t="s">
        <v>154</v>
      </c>
      <c r="D15" s="8" t="s">
        <v>165</v>
      </c>
      <c r="E15" s="8" t="s">
        <v>166</v>
      </c>
      <c r="F15" s="8" t="s">
        <v>167</v>
      </c>
      <c r="G15" s="8" t="s">
        <v>159</v>
      </c>
      <c r="H15" s="8" t="s">
        <v>168</v>
      </c>
      <c r="I15" s="8" t="s">
        <v>169</v>
      </c>
      <c r="J15" s="8" t="s">
        <v>170</v>
      </c>
      <c r="K15" s="8" t="s">
        <v>45</v>
      </c>
      <c r="L15" s="8" t="s">
        <v>171</v>
      </c>
      <c r="M15" s="8" t="s">
        <v>163</v>
      </c>
      <c r="N15" s="7"/>
    </row>
    <row r="16" customFormat="false" ht="23.85" hidden="false" customHeight="false" outlineLevel="0" collapsed="false">
      <c r="A16" s="6" t="s">
        <v>172</v>
      </c>
      <c r="B16" s="6" t="s">
        <v>153</v>
      </c>
      <c r="C16" s="6" t="s">
        <v>173</v>
      </c>
      <c r="D16" s="6" t="s">
        <v>174</v>
      </c>
      <c r="E16" s="6" t="s">
        <v>175</v>
      </c>
      <c r="F16" s="6" t="s">
        <v>176</v>
      </c>
      <c r="G16" s="6" t="s">
        <v>177</v>
      </c>
      <c r="H16" s="6" t="s">
        <v>178</v>
      </c>
      <c r="I16" s="6" t="s">
        <v>179</v>
      </c>
      <c r="J16" s="6" t="s">
        <v>180</v>
      </c>
      <c r="K16" s="6" t="s">
        <v>45</v>
      </c>
      <c r="L16" s="6" t="s">
        <v>181</v>
      </c>
      <c r="M16" s="6" t="s">
        <v>163</v>
      </c>
      <c r="N16" s="7"/>
    </row>
    <row r="17" customFormat="false" ht="23.85" hidden="false" customHeight="false" outlineLevel="0" collapsed="false">
      <c r="A17" s="8" t="s">
        <v>182</v>
      </c>
      <c r="B17" s="8" t="s">
        <v>153</v>
      </c>
      <c r="C17" s="8" t="s">
        <v>183</v>
      </c>
      <c r="D17" s="8" t="s">
        <v>184</v>
      </c>
      <c r="E17" s="8" t="s">
        <v>185</v>
      </c>
      <c r="F17" s="8" t="s">
        <v>186</v>
      </c>
      <c r="G17" s="8" t="s">
        <v>187</v>
      </c>
      <c r="H17" s="8" t="s">
        <v>188</v>
      </c>
      <c r="I17" s="8" t="s">
        <v>189</v>
      </c>
      <c r="J17" s="8" t="s">
        <v>190</v>
      </c>
      <c r="K17" s="8" t="s">
        <v>45</v>
      </c>
      <c r="L17" s="8" t="s">
        <v>191</v>
      </c>
      <c r="M17" s="8" t="s">
        <v>163</v>
      </c>
      <c r="N17" s="7"/>
    </row>
    <row r="18" customFormat="false" ht="23.85" hidden="false" customHeight="false" outlineLevel="0" collapsed="false">
      <c r="A18" s="6" t="s">
        <v>192</v>
      </c>
      <c r="B18" s="6" t="s">
        <v>153</v>
      </c>
      <c r="C18" s="6" t="s">
        <v>183</v>
      </c>
      <c r="D18" s="6" t="s">
        <v>193</v>
      </c>
      <c r="E18" s="6" t="s">
        <v>194</v>
      </c>
      <c r="F18" s="6" t="s">
        <v>195</v>
      </c>
      <c r="G18" s="6" t="s">
        <v>196</v>
      </c>
      <c r="H18" s="6" t="s">
        <v>197</v>
      </c>
      <c r="I18" s="6" t="s">
        <v>198</v>
      </c>
      <c r="J18" s="6" t="s">
        <v>199</v>
      </c>
      <c r="K18" s="6" t="s">
        <v>56</v>
      </c>
      <c r="L18" s="6" t="s">
        <v>191</v>
      </c>
      <c r="M18" s="6" t="s">
        <v>163</v>
      </c>
      <c r="N18" s="7"/>
    </row>
    <row r="19" customFormat="false" ht="23.85" hidden="false" customHeight="false" outlineLevel="0" collapsed="false">
      <c r="A19" s="8" t="s">
        <v>200</v>
      </c>
      <c r="B19" s="8" t="s">
        <v>153</v>
      </c>
      <c r="C19" s="8" t="s">
        <v>201</v>
      </c>
      <c r="D19" s="8" t="s">
        <v>202</v>
      </c>
      <c r="E19" s="8" t="s">
        <v>203</v>
      </c>
      <c r="F19" s="8" t="s">
        <v>204</v>
      </c>
      <c r="G19" s="8" t="s">
        <v>205</v>
      </c>
      <c r="H19" s="8" t="s">
        <v>206</v>
      </c>
      <c r="I19" s="8" t="s">
        <v>207</v>
      </c>
      <c r="J19" s="8" t="s">
        <v>208</v>
      </c>
      <c r="K19" s="8" t="s">
        <v>45</v>
      </c>
      <c r="L19" s="8" t="s">
        <v>209</v>
      </c>
      <c r="M19" s="8" t="s">
        <v>163</v>
      </c>
      <c r="N19" s="7"/>
    </row>
    <row r="20" customFormat="false" ht="23.85" hidden="false" customHeight="false" outlineLevel="0" collapsed="false">
      <c r="A20" s="6" t="s">
        <v>210</v>
      </c>
      <c r="B20" s="6" t="s">
        <v>153</v>
      </c>
      <c r="C20" s="6" t="s">
        <v>211</v>
      </c>
      <c r="D20" s="6" t="s">
        <v>212</v>
      </c>
      <c r="E20" s="6" t="s">
        <v>213</v>
      </c>
      <c r="F20" s="6" t="s">
        <v>214</v>
      </c>
      <c r="G20" s="6" t="s">
        <v>215</v>
      </c>
      <c r="H20" s="6" t="s">
        <v>216</v>
      </c>
      <c r="I20" s="6" t="s">
        <v>217</v>
      </c>
      <c r="J20" s="6" t="s">
        <v>218</v>
      </c>
      <c r="K20" s="6" t="s">
        <v>56</v>
      </c>
      <c r="L20" s="6" t="s">
        <v>219</v>
      </c>
      <c r="M20" s="6" t="s">
        <v>163</v>
      </c>
      <c r="N20" s="7"/>
    </row>
    <row r="21" customFormat="false" ht="35.05" hidden="false" customHeight="false" outlineLevel="0" collapsed="false">
      <c r="A21" s="8" t="s">
        <v>220</v>
      </c>
      <c r="B21" s="8" t="s">
        <v>153</v>
      </c>
      <c r="C21" s="8" t="s">
        <v>211</v>
      </c>
      <c r="D21" s="8" t="s">
        <v>221</v>
      </c>
      <c r="E21" s="8" t="s">
        <v>222</v>
      </c>
      <c r="F21" s="8" t="s">
        <v>223</v>
      </c>
      <c r="G21" s="8" t="s">
        <v>224</v>
      </c>
      <c r="H21" s="8" t="s">
        <v>225</v>
      </c>
      <c r="I21" s="8" t="s">
        <v>226</v>
      </c>
      <c r="J21" s="8" t="s">
        <v>227</v>
      </c>
      <c r="K21" s="8" t="s">
        <v>66</v>
      </c>
      <c r="L21" s="8" t="s">
        <v>228</v>
      </c>
      <c r="M21" s="8" t="s">
        <v>163</v>
      </c>
      <c r="N21" s="7"/>
    </row>
    <row r="22" customFormat="false" ht="23.85" hidden="false" customHeight="false" outlineLevel="0" collapsed="false">
      <c r="A22" s="6" t="s">
        <v>229</v>
      </c>
      <c r="B22" s="6" t="s">
        <v>230</v>
      </c>
      <c r="C22" s="6" t="s">
        <v>231</v>
      </c>
      <c r="D22" s="6" t="s">
        <v>232</v>
      </c>
      <c r="E22" s="6" t="s">
        <v>233</v>
      </c>
      <c r="F22" s="6" t="s">
        <v>234</v>
      </c>
      <c r="G22" s="6" t="s">
        <v>235</v>
      </c>
      <c r="H22" s="6" t="s">
        <v>236</v>
      </c>
      <c r="I22" s="6" t="s">
        <v>237</v>
      </c>
      <c r="J22" s="6" t="s">
        <v>238</v>
      </c>
      <c r="K22" s="6" t="s">
        <v>45</v>
      </c>
      <c r="L22" s="6" t="s">
        <v>239</v>
      </c>
      <c r="M22" s="6" t="s">
        <v>240</v>
      </c>
      <c r="N22" s="7"/>
    </row>
    <row r="23" customFormat="false" ht="23.85" hidden="false" customHeight="false" outlineLevel="0" collapsed="false">
      <c r="A23" s="8" t="s">
        <v>241</v>
      </c>
      <c r="B23" s="8" t="s">
        <v>230</v>
      </c>
      <c r="C23" s="8" t="s">
        <v>231</v>
      </c>
      <c r="D23" s="8" t="s">
        <v>242</v>
      </c>
      <c r="E23" s="8" t="s">
        <v>243</v>
      </c>
      <c r="F23" s="8" t="s">
        <v>244</v>
      </c>
      <c r="G23" s="8" t="s">
        <v>245</v>
      </c>
      <c r="H23" s="8" t="s">
        <v>246</v>
      </c>
      <c r="I23" s="8" t="s">
        <v>247</v>
      </c>
      <c r="J23" s="8" t="s">
        <v>238</v>
      </c>
      <c r="K23" s="8" t="s">
        <v>45</v>
      </c>
      <c r="L23" s="8" t="s">
        <v>239</v>
      </c>
      <c r="M23" s="8" t="s">
        <v>240</v>
      </c>
      <c r="N23" s="7"/>
    </row>
    <row r="24" customFormat="false" ht="23.85" hidden="false" customHeight="false" outlineLevel="0" collapsed="false">
      <c r="A24" s="6" t="s">
        <v>248</v>
      </c>
      <c r="B24" s="6" t="s">
        <v>230</v>
      </c>
      <c r="C24" s="6" t="s">
        <v>249</v>
      </c>
      <c r="D24" s="6" t="s">
        <v>250</v>
      </c>
      <c r="E24" s="6" t="s">
        <v>251</v>
      </c>
      <c r="F24" s="6" t="s">
        <v>252</v>
      </c>
      <c r="G24" s="6" t="s">
        <v>253</v>
      </c>
      <c r="H24" s="6" t="s">
        <v>254</v>
      </c>
      <c r="I24" s="6" t="s">
        <v>255</v>
      </c>
      <c r="J24" s="6" t="s">
        <v>256</v>
      </c>
      <c r="K24" s="6" t="s">
        <v>56</v>
      </c>
      <c r="L24" s="6" t="s">
        <v>257</v>
      </c>
      <c r="M24" s="6" t="s">
        <v>240</v>
      </c>
      <c r="N24" s="7"/>
    </row>
    <row r="25" customFormat="false" ht="23.85" hidden="false" customHeight="false" outlineLevel="0" collapsed="false">
      <c r="A25" s="8" t="s">
        <v>258</v>
      </c>
      <c r="B25" s="8" t="s">
        <v>230</v>
      </c>
      <c r="C25" s="8" t="s">
        <v>249</v>
      </c>
      <c r="D25" s="8" t="s">
        <v>259</v>
      </c>
      <c r="E25" s="8" t="s">
        <v>260</v>
      </c>
      <c r="F25" s="8" t="s">
        <v>261</v>
      </c>
      <c r="G25" s="8" t="s">
        <v>262</v>
      </c>
      <c r="H25" s="8" t="s">
        <v>263</v>
      </c>
      <c r="I25" s="8" t="s">
        <v>264</v>
      </c>
      <c r="J25" s="8" t="s">
        <v>265</v>
      </c>
      <c r="K25" s="8" t="s">
        <v>56</v>
      </c>
      <c r="L25" s="8" t="s">
        <v>266</v>
      </c>
      <c r="M25" s="8" t="s">
        <v>240</v>
      </c>
      <c r="N25" s="7"/>
    </row>
    <row r="26" customFormat="false" ht="35.05" hidden="false" customHeight="false" outlineLevel="0" collapsed="false">
      <c r="A26" s="6" t="s">
        <v>267</v>
      </c>
      <c r="B26" s="6" t="s">
        <v>268</v>
      </c>
      <c r="C26" s="6" t="s">
        <v>269</v>
      </c>
      <c r="D26" s="6" t="s">
        <v>270</v>
      </c>
      <c r="E26" s="6" t="s">
        <v>271</v>
      </c>
      <c r="F26" s="6" t="s">
        <v>272</v>
      </c>
      <c r="G26" s="6" t="s">
        <v>273</v>
      </c>
      <c r="H26" s="6" t="s">
        <v>274</v>
      </c>
      <c r="I26" s="6" t="s">
        <v>275</v>
      </c>
      <c r="J26" s="6" t="s">
        <v>276</v>
      </c>
      <c r="K26" s="6" t="s">
        <v>56</v>
      </c>
      <c r="L26" s="6" t="s">
        <v>277</v>
      </c>
      <c r="M26" s="6" t="s">
        <v>268</v>
      </c>
      <c r="N26" s="7"/>
    </row>
    <row r="27" customFormat="false" ht="23.85" hidden="false" customHeight="false" outlineLevel="0" collapsed="false">
      <c r="A27" s="8" t="s">
        <v>278</v>
      </c>
      <c r="B27" s="8" t="s">
        <v>268</v>
      </c>
      <c r="C27" s="8" t="s">
        <v>269</v>
      </c>
      <c r="D27" s="8" t="s">
        <v>279</v>
      </c>
      <c r="E27" s="8" t="s">
        <v>280</v>
      </c>
      <c r="F27" s="8" t="s">
        <v>281</v>
      </c>
      <c r="G27" s="8" t="s">
        <v>282</v>
      </c>
      <c r="H27" s="8" t="s">
        <v>283</v>
      </c>
      <c r="I27" s="8" t="s">
        <v>284</v>
      </c>
      <c r="J27" s="8" t="s">
        <v>285</v>
      </c>
      <c r="K27" s="8" t="s">
        <v>56</v>
      </c>
      <c r="L27" s="8" t="s">
        <v>286</v>
      </c>
      <c r="M27" s="8" t="s">
        <v>268</v>
      </c>
      <c r="N27" s="7"/>
    </row>
    <row r="28" customFormat="false" ht="23.85" hidden="false" customHeight="false" outlineLevel="0" collapsed="false">
      <c r="A28" s="6" t="s">
        <v>287</v>
      </c>
      <c r="B28" s="6" t="s">
        <v>288</v>
      </c>
      <c r="C28" s="6" t="s">
        <v>289</v>
      </c>
      <c r="D28" s="6" t="s">
        <v>290</v>
      </c>
      <c r="E28" s="6" t="s">
        <v>291</v>
      </c>
      <c r="F28" s="6" t="s">
        <v>292</v>
      </c>
      <c r="G28" s="6" t="s">
        <v>293</v>
      </c>
      <c r="H28" s="6" t="s">
        <v>294</v>
      </c>
      <c r="I28" s="6" t="s">
        <v>295</v>
      </c>
      <c r="J28" s="6" t="s">
        <v>296</v>
      </c>
      <c r="K28" s="6" t="s">
        <v>56</v>
      </c>
      <c r="L28" s="6" t="s">
        <v>297</v>
      </c>
      <c r="M28" s="6" t="s">
        <v>298</v>
      </c>
      <c r="N28" s="7"/>
    </row>
    <row r="29" customFormat="false" ht="35.05" hidden="false" customHeight="false" outlineLevel="0" collapsed="false">
      <c r="A29" s="8" t="s">
        <v>299</v>
      </c>
      <c r="B29" s="8" t="s">
        <v>288</v>
      </c>
      <c r="C29" s="8" t="s">
        <v>289</v>
      </c>
      <c r="D29" s="8" t="s">
        <v>300</v>
      </c>
      <c r="E29" s="8" t="s">
        <v>301</v>
      </c>
      <c r="F29" s="8" t="s">
        <v>302</v>
      </c>
      <c r="G29" s="8" t="s">
        <v>303</v>
      </c>
      <c r="H29" s="8" t="s">
        <v>304</v>
      </c>
      <c r="I29" s="8" t="s">
        <v>305</v>
      </c>
      <c r="J29" s="8" t="s">
        <v>306</v>
      </c>
      <c r="K29" s="8" t="s">
        <v>45</v>
      </c>
      <c r="L29" s="8" t="s">
        <v>307</v>
      </c>
      <c r="M29" s="8" t="s">
        <v>298</v>
      </c>
      <c r="N29" s="7"/>
    </row>
    <row r="30" customFormat="false" ht="23.85" hidden="false" customHeight="false" outlineLevel="0" collapsed="false">
      <c r="A30" s="6" t="s">
        <v>308</v>
      </c>
      <c r="B30" s="6" t="s">
        <v>288</v>
      </c>
      <c r="C30" s="6" t="s">
        <v>309</v>
      </c>
      <c r="D30" s="6" t="s">
        <v>310</v>
      </c>
      <c r="E30" s="6" t="s">
        <v>311</v>
      </c>
      <c r="F30" s="6" t="s">
        <v>312</v>
      </c>
      <c r="G30" s="6" t="s">
        <v>313</v>
      </c>
      <c r="H30" s="6" t="s">
        <v>314</v>
      </c>
      <c r="I30" s="6" t="s">
        <v>315</v>
      </c>
      <c r="J30" s="6" t="s">
        <v>316</v>
      </c>
      <c r="K30" s="6" t="s">
        <v>66</v>
      </c>
      <c r="L30" s="6" t="s">
        <v>317</v>
      </c>
      <c r="M30" s="6" t="s">
        <v>298</v>
      </c>
      <c r="N30" s="7"/>
    </row>
    <row r="31" customFormat="false" ht="23.85" hidden="false" customHeight="false" outlineLevel="0" collapsed="false">
      <c r="A31" s="8" t="s">
        <v>318</v>
      </c>
      <c r="B31" s="8" t="s">
        <v>288</v>
      </c>
      <c r="C31" s="8" t="s">
        <v>319</v>
      </c>
      <c r="D31" s="8" t="s">
        <v>320</v>
      </c>
      <c r="E31" s="8" t="s">
        <v>321</v>
      </c>
      <c r="F31" s="8" t="s">
        <v>322</v>
      </c>
      <c r="G31" s="8" t="s">
        <v>323</v>
      </c>
      <c r="H31" s="8" t="s">
        <v>324</v>
      </c>
      <c r="I31" s="8" t="s">
        <v>325</v>
      </c>
      <c r="J31" s="8" t="s">
        <v>326</v>
      </c>
      <c r="K31" s="8" t="s">
        <v>66</v>
      </c>
      <c r="L31" s="8" t="s">
        <v>327</v>
      </c>
      <c r="M31" s="8" t="s">
        <v>298</v>
      </c>
      <c r="N31" s="7"/>
    </row>
    <row r="32" customFormat="false" ht="23.85" hidden="false" customHeight="false" outlineLevel="0" collapsed="false">
      <c r="A32" s="6" t="s">
        <v>328</v>
      </c>
      <c r="B32" s="6" t="s">
        <v>288</v>
      </c>
      <c r="C32" s="6" t="s">
        <v>329</v>
      </c>
      <c r="D32" s="6" t="s">
        <v>330</v>
      </c>
      <c r="E32" s="6" t="s">
        <v>331</v>
      </c>
      <c r="F32" s="6" t="s">
        <v>332</v>
      </c>
      <c r="G32" s="6" t="s">
        <v>333</v>
      </c>
      <c r="H32" s="6" t="s">
        <v>334</v>
      </c>
      <c r="I32" s="6" t="s">
        <v>335</v>
      </c>
      <c r="J32" s="6" t="s">
        <v>336</v>
      </c>
      <c r="K32" s="6" t="s">
        <v>66</v>
      </c>
      <c r="L32" s="6" t="s">
        <v>239</v>
      </c>
      <c r="M32" s="6" t="s">
        <v>298</v>
      </c>
      <c r="N32" s="7"/>
    </row>
    <row r="33" customFormat="false" ht="23.85" hidden="false" customHeight="false" outlineLevel="0" collapsed="false">
      <c r="A33" s="8" t="s">
        <v>337</v>
      </c>
      <c r="B33" s="8" t="s">
        <v>338</v>
      </c>
      <c r="C33" s="8" t="s">
        <v>339</v>
      </c>
      <c r="D33" s="8" t="s">
        <v>340</v>
      </c>
      <c r="E33" s="8" t="s">
        <v>341</v>
      </c>
      <c r="F33" s="8" t="s">
        <v>342</v>
      </c>
      <c r="G33" s="8" t="s">
        <v>343</v>
      </c>
      <c r="H33" s="8" t="s">
        <v>344</v>
      </c>
      <c r="I33" s="8" t="s">
        <v>345</v>
      </c>
      <c r="J33" s="8" t="s">
        <v>346</v>
      </c>
      <c r="K33" s="8" t="s">
        <v>56</v>
      </c>
      <c r="L33" s="8" t="s">
        <v>347</v>
      </c>
      <c r="M33" s="8" t="s">
        <v>348</v>
      </c>
      <c r="N33" s="7"/>
    </row>
    <row r="34" customFormat="false" ht="23.85" hidden="false" customHeight="false" outlineLevel="0" collapsed="false">
      <c r="A34" s="6" t="s">
        <v>349</v>
      </c>
      <c r="B34" s="6" t="s">
        <v>338</v>
      </c>
      <c r="C34" s="6" t="s">
        <v>350</v>
      </c>
      <c r="D34" s="6" t="s">
        <v>351</v>
      </c>
      <c r="E34" s="6" t="s">
        <v>352</v>
      </c>
      <c r="F34" s="6" t="s">
        <v>353</v>
      </c>
      <c r="G34" s="6" t="s">
        <v>354</v>
      </c>
      <c r="H34" s="6" t="s">
        <v>355</v>
      </c>
      <c r="I34" s="6" t="s">
        <v>356</v>
      </c>
      <c r="J34" s="6" t="s">
        <v>265</v>
      </c>
      <c r="K34" s="6" t="s">
        <v>56</v>
      </c>
      <c r="L34" s="6" t="s">
        <v>266</v>
      </c>
      <c r="M34" s="6" t="s">
        <v>348</v>
      </c>
      <c r="N34" s="7"/>
    </row>
  </sheetData>
  <autoFilter ref="A1:N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4"/>
  </cols>
  <sheetData>
    <row r="1" customFormat="false" ht="15" hidden="false" customHeight="false" outlineLevel="0" collapsed="false">
      <c r="A1" s="9" t="s">
        <v>357</v>
      </c>
    </row>
    <row r="3" customFormat="false" ht="15" hidden="false" customHeight="false" outlineLevel="0" collapsed="false">
      <c r="A3" s="5" t="s">
        <v>22</v>
      </c>
      <c r="B3" s="5" t="s">
        <v>45</v>
      </c>
      <c r="C3" s="5" t="s">
        <v>56</v>
      </c>
      <c r="D3" s="5" t="s">
        <v>66</v>
      </c>
      <c r="E3" s="5" t="s">
        <v>358</v>
      </c>
    </row>
    <row r="4" customFormat="false" ht="15" hidden="false" customHeight="false" outlineLevel="0" collapsed="false">
      <c r="A4" s="10" t="s">
        <v>36</v>
      </c>
      <c r="B4" s="10" t="n">
        <f aca="false">COUNTIFS(Misconceptions!$B$2:$B$34,$A4,Misconceptions!$K$2:$K$34,B$3)</f>
        <v>3</v>
      </c>
      <c r="C4" s="10" t="n">
        <f aca="false">COUNTIFS(Misconceptions!$B$2:$B$34,$A4,Misconceptions!$K$2:$K$34,C$3)</f>
        <v>7</v>
      </c>
      <c r="D4" s="10" t="n">
        <f aca="false">COUNTIFS(Misconceptions!$B$2:$B$34,$A4,Misconceptions!$K$2:$K$34,D$3)</f>
        <v>2</v>
      </c>
      <c r="E4" s="10" t="n">
        <f aca="false">SUM(B4:D4)</f>
        <v>12</v>
      </c>
    </row>
    <row r="5" customFormat="false" ht="15" hidden="false" customHeight="false" outlineLevel="0" collapsed="false">
      <c r="A5" s="10" t="s">
        <v>153</v>
      </c>
      <c r="B5" s="10" t="n">
        <f aca="false">COUNTIFS(Misconceptions!$B$2:$B$34,$A5,Misconceptions!$K$2:$K$34,B$3)</f>
        <v>5</v>
      </c>
      <c r="C5" s="10" t="n">
        <f aca="false">COUNTIFS(Misconceptions!$B$2:$B$34,$A5,Misconceptions!$K$2:$K$34,C$3)</f>
        <v>2</v>
      </c>
      <c r="D5" s="10" t="n">
        <f aca="false">COUNTIFS(Misconceptions!$B$2:$B$34,$A5,Misconceptions!$K$2:$K$34,D$3)</f>
        <v>1</v>
      </c>
      <c r="E5" s="10" t="n">
        <f aca="false">SUM(B5:D5)</f>
        <v>8</v>
      </c>
    </row>
    <row r="6" customFormat="false" ht="15" hidden="false" customHeight="false" outlineLevel="0" collapsed="false">
      <c r="A6" s="10" t="s">
        <v>230</v>
      </c>
      <c r="B6" s="10" t="n">
        <f aca="false">COUNTIFS(Misconceptions!$B$2:$B$34,$A6,Misconceptions!$K$2:$K$34,B$3)</f>
        <v>2</v>
      </c>
      <c r="C6" s="10" t="n">
        <f aca="false">COUNTIFS(Misconceptions!$B$2:$B$34,$A6,Misconceptions!$K$2:$K$34,C$3)</f>
        <v>2</v>
      </c>
      <c r="D6" s="10" t="n">
        <f aca="false">COUNTIFS(Misconceptions!$B$2:$B$34,$A6,Misconceptions!$K$2:$K$34,D$3)</f>
        <v>0</v>
      </c>
      <c r="E6" s="10" t="n">
        <f aca="false">SUM(B6:D6)</f>
        <v>4</v>
      </c>
    </row>
    <row r="7" customFormat="false" ht="15" hidden="false" customHeight="false" outlineLevel="0" collapsed="false">
      <c r="A7" s="10" t="s">
        <v>268</v>
      </c>
      <c r="B7" s="10" t="n">
        <f aca="false">COUNTIFS(Misconceptions!$B$2:$B$34,$A7,Misconceptions!$K$2:$K$34,B$3)</f>
        <v>0</v>
      </c>
      <c r="C7" s="10" t="n">
        <f aca="false">COUNTIFS(Misconceptions!$B$2:$B$34,$A7,Misconceptions!$K$2:$K$34,C$3)</f>
        <v>2</v>
      </c>
      <c r="D7" s="10" t="n">
        <f aca="false">COUNTIFS(Misconceptions!$B$2:$B$34,$A7,Misconceptions!$K$2:$K$34,D$3)</f>
        <v>0</v>
      </c>
      <c r="E7" s="10" t="n">
        <f aca="false">SUM(B7:D7)</f>
        <v>2</v>
      </c>
    </row>
    <row r="8" customFormat="false" ht="15" hidden="false" customHeight="false" outlineLevel="0" collapsed="false">
      <c r="A8" s="10" t="s">
        <v>288</v>
      </c>
      <c r="B8" s="10" t="n">
        <f aca="false">COUNTIFS(Misconceptions!$B$2:$B$34,$A8,Misconceptions!$K$2:$K$34,B$3)</f>
        <v>1</v>
      </c>
      <c r="C8" s="10" t="n">
        <f aca="false">COUNTIFS(Misconceptions!$B$2:$B$34,$A8,Misconceptions!$K$2:$K$34,C$3)</f>
        <v>1</v>
      </c>
      <c r="D8" s="10" t="n">
        <f aca="false">COUNTIFS(Misconceptions!$B$2:$B$34,$A8,Misconceptions!$K$2:$K$34,D$3)</f>
        <v>3</v>
      </c>
      <c r="E8" s="10" t="n">
        <f aca="false">SUM(B8:D8)</f>
        <v>5</v>
      </c>
    </row>
    <row r="9" customFormat="false" ht="15" hidden="false" customHeight="false" outlineLevel="0" collapsed="false">
      <c r="A9" s="10" t="s">
        <v>338</v>
      </c>
      <c r="B9" s="10" t="n">
        <f aca="false">COUNTIFS(Misconceptions!$B$2:$B$34,$A9,Misconceptions!$K$2:$K$34,B$3)</f>
        <v>0</v>
      </c>
      <c r="C9" s="10" t="n">
        <f aca="false">COUNTIFS(Misconceptions!$B$2:$B$34,$A9,Misconceptions!$K$2:$K$34,C$3)</f>
        <v>2</v>
      </c>
      <c r="D9" s="10" t="n">
        <f aca="false">COUNTIFS(Misconceptions!$B$2:$B$34,$A9,Misconceptions!$K$2:$K$34,D$3)</f>
        <v>0</v>
      </c>
      <c r="E9" s="10" t="n">
        <f aca="false">SUM(B9:D9)</f>
        <v>2</v>
      </c>
    </row>
    <row r="10" customFormat="false" ht="15" hidden="false" customHeight="false" outlineLevel="0" collapsed="false">
      <c r="A10" s="11" t="s">
        <v>358</v>
      </c>
      <c r="B10" s="11" t="n">
        <f aca="false">SUM(B4:B9)</f>
        <v>11</v>
      </c>
      <c r="C10" s="11" t="n">
        <f aca="false">SUM(C4:C9)</f>
        <v>16</v>
      </c>
      <c r="D10" s="11" t="n">
        <f aca="false">SUM(D4:D9)</f>
        <v>6</v>
      </c>
      <c r="E10" s="11" t="n">
        <f aca="false">SUM(E4:E9)</f>
        <v>33</v>
      </c>
    </row>
    <row r="12" customFormat="false" ht="15" hidden="false" customHeight="false" outlineLevel="0" collapsed="false">
      <c r="A12" s="12" t="s">
        <v>359</v>
      </c>
      <c r="E12" s="12" t="n">
        <f aca="false">COUNTA(Misconceptions!$A$2:$A$34)</f>
        <v>33</v>
      </c>
    </row>
    <row r="13" customFormat="false" ht="15" hidden="false" customHeight="false" outlineLevel="0" collapsed="false">
      <c r="A13" s="12" t="s">
        <v>360</v>
      </c>
      <c r="E13" s="13" t="str">
        <f aca="false">IF(E10=E12,"OK","CHECK")</f>
        <v>OK</v>
      </c>
    </row>
    <row r="15" customFormat="false" ht="15" hidden="false" customHeight="false" outlineLevel="0" collapsed="false">
      <c r="A15" s="14" t="s">
        <v>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5"/>
    <col collapsed="false" customWidth="true" hidden="false" outlineLevel="0" max="3" min="3" style="1" width="30"/>
    <col collapsed="false" customWidth="true" hidden="false" outlineLevel="0" max="4" min="4" style="1" width="50"/>
    <col collapsed="false" customWidth="true" hidden="false" outlineLevel="0" max="5" min="5" style="1" width="22"/>
    <col collapsed="false" customWidth="true" hidden="false" outlineLevel="0" max="6" min="6" style="1" width="32"/>
    <col collapsed="false" customWidth="true" hidden="false" outlineLevel="0" max="8" min="7" style="1" width="22"/>
    <col collapsed="false" customWidth="true" hidden="false" outlineLevel="0" max="9" min="9" style="1" width="30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36"/>
  </cols>
  <sheetData>
    <row r="1" customFormat="false" ht="23.85" hidden="false" customHeight="false" outlineLevel="0" collapsed="false">
      <c r="A1" s="5" t="s">
        <v>362</v>
      </c>
      <c r="B1" s="5" t="s">
        <v>363</v>
      </c>
      <c r="C1" s="5" t="s">
        <v>364</v>
      </c>
      <c r="D1" s="5" t="s">
        <v>365</v>
      </c>
      <c r="E1" s="5" t="s">
        <v>27</v>
      </c>
      <c r="F1" s="5" t="s">
        <v>366</v>
      </c>
      <c r="G1" s="5" t="s">
        <v>367</v>
      </c>
      <c r="H1" s="5" t="s">
        <v>368</v>
      </c>
      <c r="I1" s="5" t="s">
        <v>369</v>
      </c>
      <c r="J1" s="5" t="s">
        <v>370</v>
      </c>
      <c r="K1" s="5" t="s">
        <v>371</v>
      </c>
      <c r="L1" s="5" t="s">
        <v>372</v>
      </c>
    </row>
    <row r="2" customFormat="false" ht="23.85" hidden="false" customHeight="false" outlineLevel="0" collapsed="false">
      <c r="A2" s="7" t="s">
        <v>373</v>
      </c>
      <c r="B2" s="7" t="s">
        <v>87</v>
      </c>
      <c r="C2" s="6" t="str">
        <f aca="false">IFERROR(INDEX(Misconceptions!$D$2:$D$34,MATCH($B2,Misconceptions!$A$2:$A$34,0)),"")</f>
        <v>Operational reading of '='</v>
      </c>
      <c r="D2" s="7" t="s">
        <v>374</v>
      </c>
      <c r="E2" s="7" t="s">
        <v>92</v>
      </c>
      <c r="F2" s="7" t="s">
        <v>375</v>
      </c>
      <c r="G2" s="7" t="s">
        <v>376</v>
      </c>
      <c r="H2" s="7" t="s">
        <v>197</v>
      </c>
      <c r="I2" s="7" t="s">
        <v>377</v>
      </c>
      <c r="J2" s="7" t="s">
        <v>378</v>
      </c>
      <c r="K2" s="7" t="s">
        <v>379</v>
      </c>
      <c r="L2" s="7" t="s">
        <v>380</v>
      </c>
    </row>
    <row r="3" customFormat="false" ht="15" hidden="false" customHeight="false" outlineLevel="0" collapsed="false">
      <c r="A3" s="7"/>
      <c r="B3" s="7"/>
      <c r="C3" s="6" t="str">
        <f aca="false">IF($B3="","",IFERROR(INDEX(Misconceptions!$D$2:$D$34,MATCH($B3,Misconceptions!$A$2:$A$34,0)),"ID not found"))</f>
        <v/>
      </c>
      <c r="D3" s="7"/>
      <c r="E3" s="7"/>
      <c r="F3" s="7"/>
      <c r="G3" s="7"/>
      <c r="H3" s="7"/>
      <c r="I3" s="7"/>
      <c r="J3" s="7"/>
      <c r="K3" s="7"/>
      <c r="L3" s="7"/>
    </row>
    <row r="4" customFormat="false" ht="15" hidden="false" customHeight="false" outlineLevel="0" collapsed="false">
      <c r="A4" s="7"/>
      <c r="B4" s="7"/>
      <c r="C4" s="6" t="str">
        <f aca="false">IF($B4="","",IFERROR(INDEX(Misconceptions!$D$2:$D$34,MATCH($B4,Misconceptions!$A$2:$A$34,0)),"ID not found"))</f>
        <v/>
      </c>
      <c r="D4" s="7"/>
      <c r="E4" s="7"/>
      <c r="F4" s="7"/>
      <c r="G4" s="7"/>
      <c r="H4" s="7"/>
      <c r="I4" s="7"/>
      <c r="J4" s="7"/>
      <c r="K4" s="7"/>
      <c r="L4" s="7"/>
    </row>
    <row r="5" customFormat="false" ht="15" hidden="false" customHeight="false" outlineLevel="0" collapsed="false">
      <c r="A5" s="7"/>
      <c r="B5" s="7"/>
      <c r="C5" s="6" t="str">
        <f aca="false">IF($B5="","",IFERROR(INDEX(Misconceptions!$D$2:$D$34,MATCH($B5,Misconceptions!$A$2:$A$34,0)),"ID not found"))</f>
        <v/>
      </c>
      <c r="D5" s="7"/>
      <c r="E5" s="7"/>
      <c r="F5" s="7"/>
      <c r="G5" s="7"/>
      <c r="H5" s="7"/>
      <c r="I5" s="7"/>
      <c r="J5" s="7"/>
      <c r="K5" s="7"/>
      <c r="L5" s="7"/>
    </row>
    <row r="6" customFormat="false" ht="15" hidden="false" customHeight="false" outlineLevel="0" collapsed="false">
      <c r="A6" s="7"/>
      <c r="B6" s="7"/>
      <c r="C6" s="6" t="str">
        <f aca="false">IF($B6="","",IFERROR(INDEX(Misconceptions!$D$2:$D$34,MATCH($B6,Misconceptions!$A$2:$A$34,0)),"ID not found"))</f>
        <v/>
      </c>
      <c r="D6" s="7"/>
      <c r="E6" s="7"/>
      <c r="F6" s="7"/>
      <c r="G6" s="7"/>
      <c r="H6" s="7"/>
      <c r="I6" s="7"/>
      <c r="J6" s="7"/>
      <c r="K6" s="7"/>
      <c r="L6" s="7"/>
    </row>
    <row r="7" customFormat="false" ht="15" hidden="false" customHeight="false" outlineLevel="0" collapsed="false">
      <c r="A7" s="7"/>
      <c r="B7" s="7"/>
      <c r="C7" s="6" t="str">
        <f aca="false">IF($B7="","",IFERROR(INDEX(Misconceptions!$D$2:$D$34,MATCH($B7,Misconceptions!$A$2:$A$34,0)),"ID not found"))</f>
        <v/>
      </c>
      <c r="D7" s="7"/>
      <c r="E7" s="7"/>
      <c r="F7" s="7"/>
      <c r="G7" s="7"/>
      <c r="H7" s="7"/>
      <c r="I7" s="7"/>
      <c r="J7" s="7"/>
      <c r="K7" s="7"/>
      <c r="L7" s="7"/>
    </row>
    <row r="8" customFormat="false" ht="15" hidden="false" customHeight="false" outlineLevel="0" collapsed="false">
      <c r="A8" s="7"/>
      <c r="B8" s="7"/>
      <c r="C8" s="6" t="str">
        <f aca="false">IF($B8="","",IFERROR(INDEX(Misconceptions!$D$2:$D$34,MATCH($B8,Misconceptions!$A$2:$A$34,0)),"ID not found"))</f>
        <v/>
      </c>
      <c r="D8" s="7"/>
      <c r="E8" s="7"/>
      <c r="F8" s="7"/>
      <c r="G8" s="7"/>
      <c r="H8" s="7"/>
      <c r="I8" s="7"/>
      <c r="J8" s="7"/>
      <c r="K8" s="7"/>
      <c r="L8" s="7"/>
    </row>
    <row r="9" customFormat="false" ht="15" hidden="false" customHeight="false" outlineLevel="0" collapsed="false">
      <c r="A9" s="7"/>
      <c r="B9" s="7"/>
      <c r="C9" s="6" t="str">
        <f aca="false">IF($B9="","",IFERROR(INDEX(Misconceptions!$D$2:$D$34,MATCH($B9,Misconceptions!$A$2:$A$34,0)),"ID not found"))</f>
        <v/>
      </c>
      <c r="D9" s="7"/>
      <c r="E9" s="7"/>
      <c r="F9" s="7"/>
      <c r="G9" s="7"/>
      <c r="H9" s="7"/>
      <c r="I9" s="7"/>
      <c r="J9" s="7"/>
      <c r="K9" s="7"/>
      <c r="L9" s="7"/>
    </row>
    <row r="10" customFormat="false" ht="15" hidden="false" customHeight="false" outlineLevel="0" collapsed="false">
      <c r="A10" s="7"/>
      <c r="B10" s="7"/>
      <c r="C10" s="6" t="str">
        <f aca="false">IF($B10="","",IFERROR(INDEX(Misconceptions!$D$2:$D$34,MATCH($B10,Misconceptions!$A$2:$A$34,0)),"ID not found"))</f>
        <v/>
      </c>
      <c r="D10" s="7"/>
      <c r="E10" s="7"/>
      <c r="F10" s="7"/>
      <c r="G10" s="7"/>
      <c r="H10" s="7"/>
      <c r="I10" s="7"/>
      <c r="J10" s="7"/>
      <c r="K10" s="7"/>
      <c r="L10" s="7"/>
    </row>
    <row r="11" customFormat="false" ht="15" hidden="false" customHeight="false" outlineLevel="0" collapsed="false">
      <c r="A11" s="7"/>
      <c r="B11" s="7"/>
      <c r="C11" s="6" t="str">
        <f aca="false">IF($B11="","",IFERROR(INDEX(Misconceptions!$D$2:$D$34,MATCH($B11,Misconceptions!$A$2:$A$34,0)),"ID not found"))</f>
        <v/>
      </c>
      <c r="D11" s="7"/>
      <c r="E11" s="7"/>
      <c r="F11" s="7"/>
      <c r="G11" s="7"/>
      <c r="H11" s="7"/>
      <c r="I11" s="7"/>
      <c r="J11" s="7"/>
      <c r="K11" s="7"/>
      <c r="L11" s="7"/>
    </row>
    <row r="12" customFormat="false" ht="15" hidden="false" customHeight="false" outlineLevel="0" collapsed="false">
      <c r="A12" s="7"/>
      <c r="B12" s="7"/>
      <c r="C12" s="6" t="str">
        <f aca="false">IF($B12="","",IFERROR(INDEX(Misconceptions!$D$2:$D$34,MATCH($B12,Misconceptions!$A$2:$A$34,0)),"ID not found"))</f>
        <v/>
      </c>
      <c r="D12" s="7"/>
      <c r="E12" s="7"/>
      <c r="F12" s="7"/>
      <c r="G12" s="7"/>
      <c r="H12" s="7"/>
      <c r="I12" s="7"/>
      <c r="J12" s="7"/>
      <c r="K12" s="7"/>
      <c r="L12" s="7"/>
    </row>
    <row r="13" customFormat="false" ht="15" hidden="false" customHeight="false" outlineLevel="0" collapsed="false">
      <c r="A13" s="7"/>
      <c r="B13" s="7"/>
      <c r="C13" s="6" t="str">
        <f aca="false">IF($B13="","",IFERROR(INDEX(Misconceptions!$D$2:$D$34,MATCH($B13,Misconceptions!$A$2:$A$34,0)),"ID not found"))</f>
        <v/>
      </c>
      <c r="D13" s="7"/>
      <c r="E13" s="7"/>
      <c r="F13" s="7"/>
      <c r="G13" s="7"/>
      <c r="H13" s="7"/>
      <c r="I13" s="7"/>
      <c r="J13" s="7"/>
      <c r="K13" s="7"/>
      <c r="L13" s="7"/>
    </row>
    <row r="14" customFormat="false" ht="15" hidden="false" customHeight="false" outlineLevel="0" collapsed="false">
      <c r="A14" s="7"/>
      <c r="B14" s="7"/>
      <c r="C14" s="6" t="str">
        <f aca="false">IF($B14="","",IFERROR(INDEX(Misconceptions!$D$2:$D$34,MATCH($B14,Misconceptions!$A$2:$A$34,0)),"ID not found"))</f>
        <v/>
      </c>
      <c r="D14" s="7"/>
      <c r="E14" s="7"/>
      <c r="F14" s="7"/>
      <c r="G14" s="7"/>
      <c r="H14" s="7"/>
      <c r="I14" s="7"/>
      <c r="J14" s="7"/>
      <c r="K14" s="7"/>
      <c r="L14" s="7"/>
    </row>
    <row r="15" customFormat="false" ht="15" hidden="false" customHeight="false" outlineLevel="0" collapsed="false">
      <c r="A15" s="7"/>
      <c r="B15" s="7"/>
      <c r="C15" s="6" t="str">
        <f aca="false">IF($B15="","",IFERROR(INDEX(Misconceptions!$D$2:$D$34,MATCH($B15,Misconceptions!$A$2:$A$34,0)),"ID not found"))</f>
        <v/>
      </c>
      <c r="D15" s="7"/>
      <c r="E15" s="7"/>
      <c r="F15" s="7"/>
      <c r="G15" s="7"/>
      <c r="H15" s="7"/>
      <c r="I15" s="7"/>
      <c r="J15" s="7"/>
      <c r="K15" s="7"/>
      <c r="L15" s="7"/>
    </row>
    <row r="16" customFormat="false" ht="15" hidden="false" customHeight="false" outlineLevel="0" collapsed="false">
      <c r="A16" s="7"/>
      <c r="B16" s="7"/>
      <c r="C16" s="6" t="str">
        <f aca="false">IF($B16="","",IFERROR(INDEX(Misconceptions!$D$2:$D$34,MATCH($B16,Misconceptions!$A$2:$A$34,0)),"ID not found"))</f>
        <v/>
      </c>
      <c r="D16" s="7"/>
      <c r="E16" s="7"/>
      <c r="F16" s="7"/>
      <c r="G16" s="7"/>
      <c r="H16" s="7"/>
      <c r="I16" s="7"/>
      <c r="J16" s="7"/>
      <c r="K16" s="7"/>
      <c r="L16" s="7"/>
    </row>
    <row r="17" customFormat="false" ht="15" hidden="false" customHeight="false" outlineLevel="0" collapsed="false">
      <c r="A17" s="7"/>
      <c r="B17" s="7"/>
      <c r="C17" s="6" t="str">
        <f aca="false">IF($B17="","",IFERROR(INDEX(Misconceptions!$D$2:$D$34,MATCH($B17,Misconceptions!$A$2:$A$34,0)),"ID not found"))</f>
        <v/>
      </c>
      <c r="D17" s="7"/>
      <c r="E17" s="7"/>
      <c r="F17" s="7"/>
      <c r="G17" s="7"/>
      <c r="H17" s="7"/>
      <c r="I17" s="7"/>
      <c r="J17" s="7"/>
      <c r="K17" s="7"/>
      <c r="L17" s="7"/>
    </row>
    <row r="18" customFormat="false" ht="15" hidden="false" customHeight="false" outlineLevel="0" collapsed="false">
      <c r="A18" s="7"/>
      <c r="B18" s="7"/>
      <c r="C18" s="6" t="str">
        <f aca="false">IF($B18="","",IFERROR(INDEX(Misconceptions!$D$2:$D$34,MATCH($B18,Misconceptions!$A$2:$A$34,0)),"ID not found"))</f>
        <v/>
      </c>
      <c r="D18" s="7"/>
      <c r="E18" s="7"/>
      <c r="F18" s="7"/>
      <c r="G18" s="7"/>
      <c r="H18" s="7"/>
      <c r="I18" s="7"/>
      <c r="J18" s="7"/>
      <c r="K18" s="7"/>
      <c r="L18" s="7"/>
    </row>
    <row r="19" customFormat="false" ht="15" hidden="false" customHeight="false" outlineLevel="0" collapsed="false">
      <c r="A19" s="7"/>
      <c r="B19" s="7"/>
      <c r="C19" s="6" t="str">
        <f aca="false">IF($B19="","",IFERROR(INDEX(Misconceptions!$D$2:$D$34,MATCH($B19,Misconceptions!$A$2:$A$34,0)),"ID not found"))</f>
        <v/>
      </c>
      <c r="D19" s="7"/>
      <c r="E19" s="7"/>
      <c r="F19" s="7"/>
      <c r="G19" s="7"/>
      <c r="H19" s="7"/>
      <c r="I19" s="7"/>
      <c r="J19" s="7"/>
      <c r="K19" s="7"/>
      <c r="L19" s="7"/>
    </row>
    <row r="20" customFormat="false" ht="15" hidden="false" customHeight="false" outlineLevel="0" collapsed="false">
      <c r="A20" s="7"/>
      <c r="B20" s="7"/>
      <c r="C20" s="6" t="str">
        <f aca="false">IF($B20="","",IFERROR(INDEX(Misconceptions!$D$2:$D$34,MATCH($B20,Misconceptions!$A$2:$A$34,0)),"ID not found"))</f>
        <v/>
      </c>
      <c r="D20" s="7"/>
      <c r="E20" s="7"/>
      <c r="F20" s="7"/>
      <c r="G20" s="7"/>
      <c r="H20" s="7"/>
      <c r="I20" s="7"/>
      <c r="J20" s="7"/>
      <c r="K20" s="7"/>
      <c r="L20" s="7"/>
    </row>
    <row r="21" customFormat="false" ht="15" hidden="false" customHeight="false" outlineLevel="0" collapsed="false">
      <c r="A21" s="7"/>
      <c r="B21" s="7"/>
      <c r="C21" s="6" t="str">
        <f aca="false">IF($B21="","",IFERROR(INDEX(Misconceptions!$D$2:$D$34,MATCH($B21,Misconceptions!$A$2:$A$34,0)),"ID not found"))</f>
        <v/>
      </c>
      <c r="D21" s="7"/>
      <c r="E21" s="7"/>
      <c r="F21" s="7"/>
      <c r="G21" s="7"/>
      <c r="H21" s="7"/>
      <c r="I21" s="7"/>
      <c r="J21" s="7"/>
      <c r="K21" s="7"/>
      <c r="L21" s="7"/>
    </row>
    <row r="22" customFormat="false" ht="15" hidden="false" customHeight="false" outlineLevel="0" collapsed="false">
      <c r="A22" s="7"/>
      <c r="B22" s="7"/>
      <c r="C22" s="6" t="str">
        <f aca="false">IF($B22="","",IFERROR(INDEX(Misconceptions!$D$2:$D$34,MATCH($B22,Misconceptions!$A$2:$A$34,0)),"ID not found"))</f>
        <v/>
      </c>
      <c r="D22" s="7"/>
      <c r="E22" s="7"/>
      <c r="F22" s="7"/>
      <c r="G22" s="7"/>
      <c r="H22" s="7"/>
      <c r="I22" s="7"/>
      <c r="J22" s="7"/>
      <c r="K22" s="7"/>
      <c r="L22" s="7"/>
    </row>
    <row r="23" customFormat="false" ht="15" hidden="false" customHeight="false" outlineLevel="0" collapsed="false">
      <c r="A23" s="7"/>
      <c r="B23" s="7"/>
      <c r="C23" s="6" t="str">
        <f aca="false">IF($B23="","",IFERROR(INDEX(Misconceptions!$D$2:$D$34,MATCH($B23,Misconceptions!$A$2:$A$34,0)),"ID not found"))</f>
        <v/>
      </c>
      <c r="D23" s="7"/>
      <c r="E23" s="7"/>
      <c r="F23" s="7"/>
      <c r="G23" s="7"/>
      <c r="H23" s="7"/>
      <c r="I23" s="7"/>
      <c r="J23" s="7"/>
      <c r="K23" s="7"/>
      <c r="L23" s="7"/>
    </row>
    <row r="24" customFormat="false" ht="15" hidden="false" customHeight="false" outlineLevel="0" collapsed="false">
      <c r="A24" s="7"/>
      <c r="B24" s="7"/>
      <c r="C24" s="6" t="str">
        <f aca="false">IF($B24="","",IFERROR(INDEX(Misconceptions!$D$2:$D$34,MATCH($B24,Misconceptions!$A$2:$A$34,0)),"ID not found"))</f>
        <v/>
      </c>
      <c r="D24" s="7"/>
      <c r="E24" s="7"/>
      <c r="F24" s="7"/>
      <c r="G24" s="7"/>
      <c r="H24" s="7"/>
      <c r="I24" s="7"/>
      <c r="J24" s="7"/>
      <c r="K24" s="7"/>
      <c r="L24" s="7"/>
    </row>
    <row r="25" customFormat="false" ht="15" hidden="false" customHeight="false" outlineLevel="0" collapsed="false">
      <c r="A25" s="7"/>
      <c r="B25" s="7"/>
      <c r="C25" s="6" t="str">
        <f aca="false">IF($B25="","",IFERROR(INDEX(Misconceptions!$D$2:$D$34,MATCH($B25,Misconceptions!$A$2:$A$34,0)),"ID not found"))</f>
        <v/>
      </c>
      <c r="D25" s="7"/>
      <c r="E25" s="7"/>
      <c r="F25" s="7"/>
      <c r="G25" s="7"/>
      <c r="H25" s="7"/>
      <c r="I25" s="7"/>
      <c r="J25" s="7"/>
      <c r="K25" s="7"/>
      <c r="L25" s="7"/>
    </row>
    <row r="26" customFormat="false" ht="15" hidden="false" customHeight="false" outlineLevel="0" collapsed="false">
      <c r="A26" s="7"/>
      <c r="B26" s="7"/>
      <c r="C26" s="6" t="str">
        <f aca="false">IF($B26="","",IFERROR(INDEX(Misconceptions!$D$2:$D$34,MATCH($B26,Misconceptions!$A$2:$A$34,0)),"ID not found"))</f>
        <v/>
      </c>
      <c r="D26" s="7"/>
      <c r="E26" s="7"/>
      <c r="F26" s="7"/>
      <c r="G26" s="7"/>
      <c r="H26" s="7"/>
      <c r="I26" s="7"/>
      <c r="J26" s="7"/>
      <c r="K26" s="7"/>
      <c r="L26" s="7"/>
    </row>
    <row r="27" customFormat="false" ht="15" hidden="false" customHeight="false" outlineLevel="0" collapsed="false">
      <c r="A27" s="7"/>
      <c r="B27" s="7"/>
      <c r="C27" s="6" t="str">
        <f aca="false">IF($B27="","",IFERROR(INDEX(Misconceptions!$D$2:$D$34,MATCH($B27,Misconceptions!$A$2:$A$34,0)),"ID not found"))</f>
        <v/>
      </c>
      <c r="D27" s="7"/>
      <c r="E27" s="7"/>
      <c r="F27" s="7"/>
      <c r="G27" s="7"/>
      <c r="H27" s="7"/>
      <c r="I27" s="7"/>
      <c r="J27" s="7"/>
      <c r="K27" s="7"/>
      <c r="L27" s="7"/>
    </row>
    <row r="28" customFormat="false" ht="15" hidden="false" customHeight="false" outlineLevel="0" collapsed="false">
      <c r="A28" s="7"/>
      <c r="B28" s="7"/>
      <c r="C28" s="6" t="str">
        <f aca="false">IF($B28="","",IFERROR(INDEX(Misconceptions!$D$2:$D$34,MATCH($B28,Misconceptions!$A$2:$A$34,0)),"ID not found"))</f>
        <v/>
      </c>
      <c r="D28" s="7"/>
      <c r="E28" s="7"/>
      <c r="F28" s="7"/>
      <c r="G28" s="7"/>
      <c r="H28" s="7"/>
      <c r="I28" s="7"/>
      <c r="J28" s="7"/>
      <c r="K28" s="7"/>
      <c r="L28" s="7"/>
    </row>
    <row r="29" customFormat="false" ht="15" hidden="false" customHeight="false" outlineLevel="0" collapsed="false">
      <c r="A29" s="7"/>
      <c r="B29" s="7"/>
      <c r="C29" s="6" t="str">
        <f aca="false">IF($B29="","",IFERROR(INDEX(Misconceptions!$D$2:$D$34,MATCH($B29,Misconceptions!$A$2:$A$34,0)),"ID not found"))</f>
        <v/>
      </c>
      <c r="D29" s="7"/>
      <c r="E29" s="7"/>
      <c r="F29" s="7"/>
      <c r="G29" s="7"/>
      <c r="H29" s="7"/>
      <c r="I29" s="7"/>
      <c r="J29" s="7"/>
      <c r="K29" s="7"/>
      <c r="L29" s="7"/>
    </row>
    <row r="30" customFormat="false" ht="15" hidden="false" customHeight="false" outlineLevel="0" collapsed="false">
      <c r="A30" s="7"/>
      <c r="B30" s="7"/>
      <c r="C30" s="6" t="str">
        <f aca="false">IF($B30="","",IFERROR(INDEX(Misconceptions!$D$2:$D$34,MATCH($B30,Misconceptions!$A$2:$A$34,0)),"ID not found"))</f>
        <v/>
      </c>
      <c r="D30" s="7"/>
      <c r="E30" s="7"/>
      <c r="F30" s="7"/>
      <c r="G30" s="7"/>
      <c r="H30" s="7"/>
      <c r="I30" s="7"/>
      <c r="J30" s="7"/>
      <c r="K30" s="7"/>
      <c r="L30" s="7"/>
    </row>
    <row r="31" customFormat="false" ht="15" hidden="false" customHeight="false" outlineLevel="0" collapsed="false">
      <c r="A31" s="7"/>
      <c r="B31" s="7"/>
      <c r="C31" s="6" t="str">
        <f aca="false">IF($B31="","",IFERROR(INDEX(Misconceptions!$D$2:$D$34,MATCH($B31,Misconceptions!$A$2:$A$34,0)),"ID not found"))</f>
        <v/>
      </c>
      <c r="D31" s="7"/>
      <c r="E31" s="7"/>
      <c r="F31" s="7"/>
      <c r="G31" s="7"/>
      <c r="H31" s="7"/>
      <c r="I31" s="7"/>
      <c r="J31" s="7"/>
      <c r="K31" s="7"/>
      <c r="L31" s="7"/>
    </row>
    <row r="32" customFormat="false" ht="15" hidden="false" customHeight="false" outlineLevel="0" collapsed="false">
      <c r="A32" s="7"/>
      <c r="B32" s="7"/>
      <c r="C32" s="6" t="str">
        <f aca="false">IF($B32="","",IFERROR(INDEX(Misconceptions!$D$2:$D$34,MATCH($B32,Misconceptions!$A$2:$A$34,0)),"ID not found"))</f>
        <v/>
      </c>
      <c r="D32" s="7"/>
      <c r="E32" s="7"/>
      <c r="F32" s="7"/>
      <c r="G32" s="7"/>
      <c r="H32" s="7"/>
      <c r="I32" s="7"/>
      <c r="J32" s="7"/>
      <c r="K32" s="7"/>
      <c r="L32" s="7"/>
    </row>
    <row r="33" customFormat="false" ht="15" hidden="false" customHeight="false" outlineLevel="0" collapsed="false">
      <c r="A33" s="7"/>
      <c r="B33" s="7"/>
      <c r="C33" s="6" t="str">
        <f aca="false">IF($B33="","",IFERROR(INDEX(Misconceptions!$D$2:$D$34,MATCH($B33,Misconceptions!$A$2:$A$34,0)),"ID not found"))</f>
        <v/>
      </c>
      <c r="D33" s="7"/>
      <c r="E33" s="7"/>
      <c r="F33" s="7"/>
      <c r="G33" s="7"/>
      <c r="H33" s="7"/>
      <c r="I33" s="7"/>
      <c r="J33" s="7"/>
      <c r="K33" s="7"/>
      <c r="L33" s="7"/>
    </row>
    <row r="34" customFormat="false" ht="15" hidden="false" customHeight="false" outlineLevel="0" collapsed="false">
      <c r="A34" s="7"/>
      <c r="B34" s="7"/>
      <c r="C34" s="6" t="str">
        <f aca="false">IF($B34="","",IFERROR(INDEX(Misconceptions!$D$2:$D$34,MATCH($B34,Misconceptions!$A$2:$A$34,0)),"ID not found"))</f>
        <v/>
      </c>
      <c r="D34" s="7"/>
      <c r="E34" s="7"/>
      <c r="F34" s="7"/>
      <c r="G34" s="7"/>
      <c r="H34" s="7"/>
      <c r="I34" s="7"/>
      <c r="J34" s="7"/>
      <c r="K34" s="7"/>
      <c r="L34" s="7"/>
    </row>
    <row r="35" customFormat="false" ht="15" hidden="false" customHeight="false" outlineLevel="0" collapsed="false">
      <c r="A35" s="7"/>
      <c r="B35" s="7"/>
      <c r="C35" s="6" t="str">
        <f aca="false">IF($B35="","",IFERROR(INDEX(Misconceptions!$D$2:$D$34,MATCH($B35,Misconceptions!$A$2:$A$34,0)),"ID not found"))</f>
        <v/>
      </c>
      <c r="D35" s="7"/>
      <c r="E35" s="7"/>
      <c r="F35" s="7"/>
      <c r="G35" s="7"/>
      <c r="H35" s="7"/>
      <c r="I35" s="7"/>
      <c r="J35" s="7"/>
      <c r="K35" s="7"/>
      <c r="L35" s="7"/>
    </row>
    <row r="36" customFormat="false" ht="15" hidden="false" customHeight="false" outlineLevel="0" collapsed="false">
      <c r="A36" s="7"/>
      <c r="B36" s="7"/>
      <c r="C36" s="6" t="str">
        <f aca="false">IF($B36="","",IFERROR(INDEX(Misconceptions!$D$2:$D$34,MATCH($B36,Misconceptions!$A$2:$A$34,0)),"ID not found"))</f>
        <v/>
      </c>
      <c r="D36" s="7"/>
      <c r="E36" s="7"/>
      <c r="F36" s="7"/>
      <c r="G36" s="7"/>
      <c r="H36" s="7"/>
      <c r="I36" s="7"/>
      <c r="J36" s="7"/>
      <c r="K36" s="7"/>
      <c r="L36" s="7"/>
    </row>
    <row r="37" customFormat="false" ht="15" hidden="false" customHeight="false" outlineLevel="0" collapsed="false">
      <c r="A37" s="7"/>
      <c r="B37" s="7"/>
      <c r="C37" s="6" t="str">
        <f aca="false">IF($B37="","",IFERROR(INDEX(Misconceptions!$D$2:$D$34,MATCH($B37,Misconceptions!$A$2:$A$34,0)),"ID not found"))</f>
        <v/>
      </c>
      <c r="D37" s="7"/>
      <c r="E37" s="7"/>
      <c r="F37" s="7"/>
      <c r="G37" s="7"/>
      <c r="H37" s="7"/>
      <c r="I37" s="7"/>
      <c r="J37" s="7"/>
      <c r="K37" s="7"/>
      <c r="L37" s="7"/>
    </row>
    <row r="38" customFormat="false" ht="15" hidden="false" customHeight="false" outlineLevel="0" collapsed="false">
      <c r="A38" s="7"/>
      <c r="B38" s="7"/>
      <c r="C38" s="6" t="str">
        <f aca="false">IF($B38="","",IFERROR(INDEX(Misconceptions!$D$2:$D$34,MATCH($B38,Misconceptions!$A$2:$A$34,0)),"ID not found"))</f>
        <v/>
      </c>
      <c r="D38" s="7"/>
      <c r="E38" s="7"/>
      <c r="F38" s="7"/>
      <c r="G38" s="7"/>
      <c r="H38" s="7"/>
      <c r="I38" s="7"/>
      <c r="J38" s="7"/>
      <c r="K38" s="7"/>
      <c r="L38" s="7"/>
    </row>
    <row r="39" customFormat="false" ht="15" hidden="false" customHeight="false" outlineLevel="0" collapsed="false">
      <c r="A39" s="7"/>
      <c r="B39" s="7"/>
      <c r="C39" s="6" t="str">
        <f aca="false">IF($B39="","",IFERROR(INDEX(Misconceptions!$D$2:$D$34,MATCH($B39,Misconceptions!$A$2:$A$34,0)),"ID not found"))</f>
        <v/>
      </c>
      <c r="D39" s="7"/>
      <c r="E39" s="7"/>
      <c r="F39" s="7"/>
      <c r="G39" s="7"/>
      <c r="H39" s="7"/>
      <c r="I39" s="7"/>
      <c r="J39" s="7"/>
      <c r="K39" s="7"/>
      <c r="L39" s="7"/>
    </row>
    <row r="40" customFormat="false" ht="15" hidden="false" customHeight="false" outlineLevel="0" collapsed="false">
      <c r="A40" s="7"/>
      <c r="B40" s="7"/>
      <c r="C40" s="6" t="str">
        <f aca="false">IF($B40="","",IFERROR(INDEX(Misconceptions!$D$2:$D$34,MATCH($B40,Misconceptions!$A$2:$A$34,0)),"ID not found"))</f>
        <v/>
      </c>
      <c r="D40" s="7"/>
      <c r="E40" s="7"/>
      <c r="F40" s="7"/>
      <c r="G40" s="7"/>
      <c r="H40" s="7"/>
      <c r="I40" s="7"/>
      <c r="J40" s="7"/>
      <c r="K40" s="7"/>
      <c r="L40" s="7"/>
    </row>
    <row r="41" customFormat="false" ht="15" hidden="false" customHeight="false" outlineLevel="0" collapsed="false">
      <c r="A41" s="7"/>
      <c r="B41" s="7"/>
      <c r="C41" s="6" t="str">
        <f aca="false">IF($B41="","",IFERROR(INDEX(Misconceptions!$D$2:$D$34,MATCH($B41,Misconceptions!$A$2:$A$34,0)),"ID not found"))</f>
        <v/>
      </c>
      <c r="D41" s="7"/>
      <c r="E41" s="7"/>
      <c r="F41" s="7"/>
      <c r="G41" s="7"/>
      <c r="H41" s="7"/>
      <c r="I41" s="7"/>
      <c r="J41" s="7"/>
      <c r="K41" s="7"/>
      <c r="L41" s="7"/>
    </row>
    <row r="43" customFormat="false" ht="15" hidden="false" customHeight="false" outlineLevel="0" collapsed="false">
      <c r="A43" s="14" t="s">
        <v>381</v>
      </c>
    </row>
  </sheetData>
  <dataValidations count="2">
    <dataValidation allowBlank="true" error="Choose an ID from the Misconceptions sheet." errorStyle="stop" errorTitle="Unknown misconception ID" operator="between" showDropDown="false" showErrorMessage="false" showInputMessage="false" sqref="B2:B41" type="list">
      <formula1>Misconceptions!$A$2:$A$34</formula1>
      <formula2>0</formula2>
    </dataValidation>
    <dataValidation allowBlank="true" errorStyle="stop" operator="between" showDropDown="false" showErrorMessage="false" showInputMessage="false" sqref="J2:J41" type="list">
      <formula1>"Draft,Reviewed,Piloted,Retired"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70"/>
    <col collapsed="false" customWidth="true" hidden="false" outlineLevel="0" max="4" min="4" style="1" width="55"/>
    <col collapsed="false" customWidth="true" hidden="false" outlineLevel="0" max="5" min="5" style="1" width="50"/>
    <col collapsed="false" customWidth="true" hidden="false" outlineLevel="0" max="6" min="6" style="1" width="16"/>
  </cols>
  <sheetData>
    <row r="1" customFormat="false" ht="35.05" hidden="false" customHeight="false" outlineLevel="0" collapsed="false">
      <c r="A1" s="5" t="s">
        <v>382</v>
      </c>
      <c r="B1" s="5" t="s">
        <v>383</v>
      </c>
      <c r="C1" s="5" t="s">
        <v>384</v>
      </c>
      <c r="D1" s="5" t="s">
        <v>385</v>
      </c>
      <c r="E1" s="5" t="s">
        <v>386</v>
      </c>
      <c r="F1" s="5" t="s">
        <v>387</v>
      </c>
    </row>
    <row r="2" customFormat="false" ht="23.85" hidden="false" customHeight="false" outlineLevel="0" collapsed="false">
      <c r="A2" s="6" t="s">
        <v>388</v>
      </c>
      <c r="B2" s="6" t="s">
        <v>389</v>
      </c>
      <c r="C2" s="6" t="s">
        <v>390</v>
      </c>
      <c r="D2" s="6" t="s">
        <v>391</v>
      </c>
      <c r="E2" s="6" t="s">
        <v>392</v>
      </c>
      <c r="F2" s="6" t="n">
        <f aca="false">COUNTIF(Misconceptions!$L$2:$L$34,"*"&amp;A2&amp;"*")</f>
        <v>1</v>
      </c>
    </row>
    <row r="3" customFormat="false" ht="15" hidden="false" customHeight="false" outlineLevel="0" collapsed="false">
      <c r="A3" s="6" t="s">
        <v>393</v>
      </c>
      <c r="B3" s="6" t="s">
        <v>394</v>
      </c>
      <c r="C3" s="6" t="s">
        <v>395</v>
      </c>
      <c r="D3" s="6" t="s">
        <v>396</v>
      </c>
      <c r="E3" s="6" t="s">
        <v>397</v>
      </c>
      <c r="F3" s="6" t="n">
        <f aca="false">COUNTIF(Misconceptions!$L$2:$L$34,"*"&amp;A3&amp;"*")</f>
        <v>2</v>
      </c>
    </row>
    <row r="4" customFormat="false" ht="15" hidden="false" customHeight="false" outlineLevel="0" collapsed="false">
      <c r="A4" s="6" t="s">
        <v>398</v>
      </c>
      <c r="B4" s="6" t="s">
        <v>399</v>
      </c>
      <c r="C4" s="6" t="s">
        <v>400</v>
      </c>
      <c r="D4" s="6" t="s">
        <v>401</v>
      </c>
      <c r="E4" s="6" t="s">
        <v>402</v>
      </c>
      <c r="F4" s="6" t="n">
        <f aca="false">COUNTIF(Misconceptions!$L$2:$L$34,"*"&amp;A4&amp;"*")</f>
        <v>1</v>
      </c>
    </row>
    <row r="5" customFormat="false" ht="23.85" hidden="false" customHeight="false" outlineLevel="0" collapsed="false">
      <c r="A5" s="6" t="s">
        <v>403</v>
      </c>
      <c r="B5" s="6" t="s">
        <v>404</v>
      </c>
      <c r="C5" s="6" t="s">
        <v>405</v>
      </c>
      <c r="D5" s="6" t="s">
        <v>406</v>
      </c>
      <c r="E5" s="6" t="s">
        <v>407</v>
      </c>
      <c r="F5" s="6" t="n">
        <f aca="false">COUNTIF(Misconceptions!$L$2:$L$34,"*"&amp;A5&amp;"*")</f>
        <v>3</v>
      </c>
    </row>
    <row r="6" customFormat="false" ht="15" hidden="false" customHeight="false" outlineLevel="0" collapsed="false">
      <c r="A6" s="6" t="s">
        <v>408</v>
      </c>
      <c r="B6" s="6" t="s">
        <v>409</v>
      </c>
      <c r="C6" s="6" t="s">
        <v>410</v>
      </c>
      <c r="D6" s="6" t="s">
        <v>411</v>
      </c>
      <c r="E6" s="6" t="s">
        <v>412</v>
      </c>
      <c r="F6" s="6" t="n">
        <f aca="false">COUNTIF(Misconceptions!$L$2:$L$34,"*"&amp;A6&amp;"*")</f>
        <v>1</v>
      </c>
    </row>
    <row r="7" customFormat="false" ht="23.85" hidden="false" customHeight="false" outlineLevel="0" collapsed="false">
      <c r="A7" s="6" t="s">
        <v>413</v>
      </c>
      <c r="B7" s="6" t="s">
        <v>414</v>
      </c>
      <c r="C7" s="6" t="s">
        <v>415</v>
      </c>
      <c r="D7" s="6" t="s">
        <v>416</v>
      </c>
      <c r="E7" s="6" t="s">
        <v>417</v>
      </c>
      <c r="F7" s="6" t="n">
        <f aca="false">COUNTIF(Misconceptions!$L$2:$L$34,"*"&amp;A7&amp;"*")</f>
        <v>1</v>
      </c>
    </row>
    <row r="8" customFormat="false" ht="35.05" hidden="false" customHeight="false" outlineLevel="0" collapsed="false">
      <c r="A8" s="6" t="s">
        <v>418</v>
      </c>
      <c r="B8" s="6" t="s">
        <v>419</v>
      </c>
      <c r="C8" s="6" t="s">
        <v>420</v>
      </c>
      <c r="D8" s="6" t="s">
        <v>421</v>
      </c>
      <c r="E8" s="6"/>
      <c r="F8" s="6" t="n">
        <f aca="false">COUNTIF(Misconceptions!$L$2:$L$34,"*"&amp;A8&amp;"*")</f>
        <v>2</v>
      </c>
    </row>
    <row r="9" customFormat="false" ht="23.85" hidden="false" customHeight="false" outlineLevel="0" collapsed="false">
      <c r="A9" s="6" t="s">
        <v>422</v>
      </c>
      <c r="B9" s="6" t="s">
        <v>423</v>
      </c>
      <c r="C9" s="6" t="s">
        <v>424</v>
      </c>
      <c r="D9" s="6" t="s">
        <v>425</v>
      </c>
      <c r="E9" s="6" t="s">
        <v>426</v>
      </c>
      <c r="F9" s="6" t="n">
        <f aca="false">COUNTIF(Misconceptions!$L$2:$L$34,"*"&amp;A9&amp;"*")</f>
        <v>3</v>
      </c>
    </row>
    <row r="10" customFormat="false" ht="15" hidden="false" customHeight="false" outlineLevel="0" collapsed="false">
      <c r="A10" s="6" t="s">
        <v>347</v>
      </c>
      <c r="B10" s="6" t="s">
        <v>427</v>
      </c>
      <c r="C10" s="6" t="s">
        <v>428</v>
      </c>
      <c r="D10" s="6" t="s">
        <v>429</v>
      </c>
      <c r="E10" s="6"/>
      <c r="F10" s="6" t="n">
        <f aca="false">COUNTIF(Misconceptions!$L$2:$L$34,"*"&amp;A10&amp;"*")</f>
        <v>1</v>
      </c>
    </row>
    <row r="11" customFormat="false" ht="23.85" hidden="false" customHeight="false" outlineLevel="0" collapsed="false">
      <c r="A11" s="6" t="s">
        <v>430</v>
      </c>
      <c r="B11" s="6" t="s">
        <v>431</v>
      </c>
      <c r="C11" s="6" t="s">
        <v>432</v>
      </c>
      <c r="D11" s="6" t="s">
        <v>433</v>
      </c>
      <c r="E11" s="6" t="s">
        <v>434</v>
      </c>
      <c r="F11" s="6" t="n">
        <f aca="false">COUNTIF(Misconceptions!$L$2:$L$34,"*"&amp;A11&amp;"*")</f>
        <v>2</v>
      </c>
    </row>
    <row r="12" customFormat="false" ht="23.85" hidden="false" customHeight="false" outlineLevel="0" collapsed="false">
      <c r="A12" s="6" t="s">
        <v>435</v>
      </c>
      <c r="B12" s="6" t="s">
        <v>436</v>
      </c>
      <c r="C12" s="6" t="s">
        <v>437</v>
      </c>
      <c r="D12" s="6" t="s">
        <v>438</v>
      </c>
      <c r="E12" s="6" t="s">
        <v>439</v>
      </c>
      <c r="F12" s="6" t="n">
        <f aca="false">COUNTIF(Misconceptions!$L$2:$L$34,"*"&amp;A12&amp;"*")</f>
        <v>1</v>
      </c>
    </row>
    <row r="13" customFormat="false" ht="23.85" hidden="false" customHeight="false" outlineLevel="0" collapsed="false">
      <c r="A13" s="6" t="s">
        <v>440</v>
      </c>
      <c r="B13" s="6" t="s">
        <v>441</v>
      </c>
      <c r="C13" s="6" t="s">
        <v>442</v>
      </c>
      <c r="D13" s="6" t="s">
        <v>443</v>
      </c>
      <c r="E13" s="6" t="s">
        <v>444</v>
      </c>
      <c r="F13" s="6" t="n">
        <f aca="false">COUNTIF(Misconceptions!$L$2:$L$34,"*"&amp;A13&amp;"*")</f>
        <v>1</v>
      </c>
    </row>
    <row r="14" customFormat="false" ht="23.85" hidden="false" customHeight="false" outlineLevel="0" collapsed="false">
      <c r="A14" s="6" t="s">
        <v>228</v>
      </c>
      <c r="B14" s="6" t="s">
        <v>445</v>
      </c>
      <c r="C14" s="6" t="s">
        <v>446</v>
      </c>
      <c r="D14" s="6" t="s">
        <v>447</v>
      </c>
      <c r="E14" s="6" t="s">
        <v>448</v>
      </c>
      <c r="F14" s="6" t="n">
        <f aca="false">COUNTIF(Misconceptions!$L$2:$L$34,"*"&amp;A14&amp;"*")</f>
        <v>2</v>
      </c>
    </row>
    <row r="15" customFormat="false" ht="15" hidden="false" customHeight="false" outlineLevel="0" collapsed="false">
      <c r="A15" s="6" t="s">
        <v>449</v>
      </c>
      <c r="B15" s="6" t="s">
        <v>450</v>
      </c>
      <c r="C15" s="6" t="s">
        <v>451</v>
      </c>
      <c r="D15" s="6" t="s">
        <v>452</v>
      </c>
      <c r="E15" s="6" t="s">
        <v>453</v>
      </c>
      <c r="F15" s="6" t="n">
        <f aca="false">COUNTIF(Misconceptions!$L$2:$L$34,"*"&amp;A15&amp;"*")</f>
        <v>1</v>
      </c>
    </row>
    <row r="16" customFormat="false" ht="23.85" hidden="false" customHeight="false" outlineLevel="0" collapsed="false">
      <c r="A16" s="6" t="s">
        <v>454</v>
      </c>
      <c r="B16" s="6" t="s">
        <v>455</v>
      </c>
      <c r="C16" s="6" t="s">
        <v>456</v>
      </c>
      <c r="D16" s="6" t="s">
        <v>457</v>
      </c>
      <c r="E16" s="6"/>
      <c r="F16" s="6" t="n">
        <f aca="false">COUNTIF(Misconceptions!$L$2:$L$34,"*"&amp;A16&amp;"*")</f>
        <v>1</v>
      </c>
    </row>
    <row r="17" customFormat="false" ht="23.85" hidden="false" customHeight="false" outlineLevel="0" collapsed="false">
      <c r="A17" s="6" t="s">
        <v>458</v>
      </c>
      <c r="B17" s="6" t="s">
        <v>459</v>
      </c>
      <c r="C17" s="6" t="s">
        <v>460</v>
      </c>
      <c r="D17" s="6" t="s">
        <v>461</v>
      </c>
      <c r="E17" s="6" t="s">
        <v>462</v>
      </c>
      <c r="F17" s="6" t="n">
        <f aca="false">COUNTIF(Misconceptions!$L$2:$L$34,"*"&amp;A17&amp;"*")</f>
        <v>1</v>
      </c>
    </row>
    <row r="18" customFormat="false" ht="15" hidden="false" customHeight="false" outlineLevel="0" collapsed="false">
      <c r="A18" s="6" t="s">
        <v>463</v>
      </c>
      <c r="B18" s="6" t="s">
        <v>464</v>
      </c>
      <c r="C18" s="6" t="s">
        <v>465</v>
      </c>
      <c r="D18" s="6" t="s">
        <v>466</v>
      </c>
      <c r="E18" s="6"/>
      <c r="F18" s="6" t="n">
        <f aca="false">COUNTIF(Misconceptions!$L$2:$L$34,"*"&amp;A18&amp;"*")</f>
        <v>1</v>
      </c>
    </row>
    <row r="19" customFormat="false" ht="23.85" hidden="false" customHeight="false" outlineLevel="0" collapsed="false">
      <c r="A19" s="6" t="s">
        <v>67</v>
      </c>
      <c r="B19" s="6" t="s">
        <v>467</v>
      </c>
      <c r="C19" s="6" t="s">
        <v>36</v>
      </c>
      <c r="D19" s="6" t="s">
        <v>468</v>
      </c>
      <c r="E19" s="6"/>
      <c r="F19" s="6" t="n">
        <f aca="false">COUNTIF(Misconceptions!$L$2:$L$34,"*"&amp;A19&amp;"*")</f>
        <v>4</v>
      </c>
    </row>
    <row r="20" customFormat="false" ht="15" hidden="false" customHeight="false" outlineLevel="0" collapsed="false">
      <c r="A20" s="6" t="s">
        <v>469</v>
      </c>
      <c r="B20" s="6" t="s">
        <v>470</v>
      </c>
      <c r="C20" s="6" t="s">
        <v>471</v>
      </c>
      <c r="D20" s="6" t="s">
        <v>472</v>
      </c>
      <c r="E20" s="6"/>
      <c r="F20" s="6" t="n">
        <f aca="false">COUNTIF(Misconceptions!$L$2:$L$34,"*"&amp;A20&amp;"*")</f>
        <v>2</v>
      </c>
    </row>
    <row r="21" customFormat="false" ht="15" hidden="false" customHeight="false" outlineLevel="0" collapsed="false">
      <c r="A21" s="6" t="s">
        <v>86</v>
      </c>
      <c r="B21" s="6" t="s">
        <v>473</v>
      </c>
      <c r="C21" s="6" t="s">
        <v>474</v>
      </c>
      <c r="D21" s="6" t="s">
        <v>475</v>
      </c>
      <c r="E21" s="6" t="s">
        <v>476</v>
      </c>
      <c r="F21" s="6" t="n">
        <f aca="false">COUNTIF(Misconceptions!$L$2:$L$34,"*"&amp;A21&amp;"*")</f>
        <v>4</v>
      </c>
    </row>
    <row r="22" customFormat="false" ht="15" hidden="false" customHeight="false" outlineLevel="0" collapsed="false">
      <c r="A22" s="6" t="s">
        <v>477</v>
      </c>
      <c r="B22" s="6" t="s">
        <v>478</v>
      </c>
      <c r="C22" s="6" t="s">
        <v>479</v>
      </c>
      <c r="D22" s="6" t="s">
        <v>480</v>
      </c>
      <c r="E22" s="6"/>
      <c r="F22" s="6" t="n">
        <f aca="false">COUNTIF(Misconceptions!$L$2:$L$34,"*"&amp;A22&amp;"*")</f>
        <v>2</v>
      </c>
    </row>
    <row r="23" customFormat="false" ht="23.85" hidden="false" customHeight="false" outlineLevel="0" collapsed="false">
      <c r="A23" s="6" t="s">
        <v>481</v>
      </c>
      <c r="B23" s="6" t="s">
        <v>482</v>
      </c>
      <c r="C23" s="6" t="s">
        <v>483</v>
      </c>
      <c r="D23" s="6" t="s">
        <v>484</v>
      </c>
      <c r="E23" s="6" t="s">
        <v>485</v>
      </c>
      <c r="F23" s="6" t="n">
        <f aca="false">COUNTIF(Misconceptions!$L$2:$L$34,"*"&amp;A23&amp;"*")</f>
        <v>1</v>
      </c>
    </row>
    <row r="24" customFormat="false" ht="23.85" hidden="false" customHeight="false" outlineLevel="0" collapsed="false">
      <c r="A24" s="6" t="s">
        <v>486</v>
      </c>
      <c r="B24" s="6" t="s">
        <v>487</v>
      </c>
      <c r="C24" s="6" t="s">
        <v>488</v>
      </c>
      <c r="D24" s="6" t="s">
        <v>489</v>
      </c>
      <c r="E24" s="6" t="s">
        <v>490</v>
      </c>
      <c r="F24" s="6" t="n">
        <f aca="false">COUNTIF(Misconceptions!$L$2:$L$34,"*"&amp;A24&amp;"*")</f>
        <v>1</v>
      </c>
    </row>
    <row r="25" customFormat="false" ht="23.85" hidden="false" customHeight="false" outlineLevel="0" collapsed="false">
      <c r="A25" s="6" t="s">
        <v>491</v>
      </c>
      <c r="B25" s="6" t="s">
        <v>492</v>
      </c>
      <c r="C25" s="6" t="s">
        <v>493</v>
      </c>
      <c r="D25" s="6" t="s">
        <v>494</v>
      </c>
      <c r="E25" s="6" t="s">
        <v>495</v>
      </c>
      <c r="F25" s="6" t="n">
        <f aca="false">COUNTIF(Misconceptions!$L$2:$L$34,"*"&amp;A25&amp;"*")</f>
        <v>1</v>
      </c>
    </row>
    <row r="26" customFormat="false" ht="23.85" hidden="false" customHeight="false" outlineLevel="0" collapsed="false">
      <c r="A26" s="6" t="s">
        <v>496</v>
      </c>
      <c r="B26" s="6" t="s">
        <v>497</v>
      </c>
      <c r="C26" s="6" t="s">
        <v>498</v>
      </c>
      <c r="D26" s="6" t="s">
        <v>499</v>
      </c>
      <c r="E26" s="6" t="s">
        <v>500</v>
      </c>
      <c r="F26" s="6" t="n">
        <f aca="false">COUNTIF(Misconceptions!$L$2:$L$34,"*"&amp;A26&amp;"*")</f>
        <v>1</v>
      </c>
    </row>
    <row r="27" customFormat="false" ht="15" hidden="false" customHeight="false" outlineLevel="0" collapsed="false">
      <c r="A27" s="6" t="s">
        <v>501</v>
      </c>
      <c r="B27" s="6" t="s">
        <v>502</v>
      </c>
      <c r="C27" s="6" t="s">
        <v>503</v>
      </c>
      <c r="D27" s="6" t="s">
        <v>504</v>
      </c>
      <c r="E27" s="6" t="s">
        <v>505</v>
      </c>
      <c r="F27" s="6" t="n">
        <f aca="false">COUNTIF(Misconceptions!$L$2:$L$34,"*"&amp;A27&amp;"*")</f>
        <v>2</v>
      </c>
    </row>
    <row r="28" customFormat="false" ht="15" hidden="false" customHeight="false" outlineLevel="0" collapsed="false">
      <c r="A28" s="6" t="s">
        <v>506</v>
      </c>
      <c r="B28" s="6" t="s">
        <v>507</v>
      </c>
      <c r="C28" s="6" t="s">
        <v>508</v>
      </c>
      <c r="D28" s="6" t="s">
        <v>509</v>
      </c>
      <c r="E28" s="6" t="s">
        <v>510</v>
      </c>
      <c r="F28" s="6" t="n">
        <f aca="false">COUNTIF(Misconceptions!$L$2:$L$34,"*"&amp;A28&amp;"*")</f>
        <v>3</v>
      </c>
    </row>
    <row r="29" customFormat="false" ht="46.25" hidden="false" customHeight="false" outlineLevel="0" collapsed="false">
      <c r="A29" s="6" t="s">
        <v>511</v>
      </c>
      <c r="B29" s="6" t="s">
        <v>512</v>
      </c>
      <c r="C29" s="6" t="s">
        <v>513</v>
      </c>
      <c r="D29" s="6" t="s">
        <v>514</v>
      </c>
      <c r="E29" s="6" t="s">
        <v>515</v>
      </c>
      <c r="F29" s="6" t="n">
        <f aca="false">COUNTIF(Misconceptions!$L$2:$L$34,"*"&amp;A29&amp;"*")</f>
        <v>1</v>
      </c>
    </row>
    <row r="30" customFormat="false" ht="35.05" hidden="false" customHeight="false" outlineLevel="0" collapsed="false">
      <c r="A30" s="6" t="s">
        <v>516</v>
      </c>
      <c r="B30" s="6" t="s">
        <v>517</v>
      </c>
      <c r="C30" s="6" t="s">
        <v>518</v>
      </c>
      <c r="D30" s="6" t="s">
        <v>519</v>
      </c>
      <c r="E30" s="6" t="s">
        <v>520</v>
      </c>
      <c r="F30" s="6" t="n">
        <f aca="false">COUNTIF(Misconceptions!$L$2:$L$34,"*"&amp;A30&amp;"*")</f>
        <v>1</v>
      </c>
    </row>
    <row r="31" customFormat="false" ht="15" hidden="false" customHeight="false" outlineLevel="0" collapsed="false">
      <c r="A31" s="6" t="s">
        <v>521</v>
      </c>
      <c r="B31" s="6" t="s">
        <v>522</v>
      </c>
      <c r="C31" s="6" t="s">
        <v>523</v>
      </c>
      <c r="D31" s="6" t="s">
        <v>524</v>
      </c>
      <c r="E31" s="6"/>
      <c r="F31" s="6" t="n">
        <f aca="false">COUNTIF(Misconceptions!$L$2:$L$34,"*"&amp;A31&amp;"*")</f>
        <v>3</v>
      </c>
    </row>
    <row r="32" customFormat="false" ht="15" hidden="false" customHeight="false" outlineLevel="0" collapsed="false">
      <c r="A32" s="6" t="s">
        <v>525</v>
      </c>
      <c r="B32" s="6" t="s">
        <v>526</v>
      </c>
      <c r="C32" s="6" t="s">
        <v>527</v>
      </c>
      <c r="D32" s="6" t="s">
        <v>528</v>
      </c>
      <c r="E32" s="6"/>
      <c r="F32" s="6" t="n">
        <f aca="false">COUNTIF(Misconceptions!$L$2:$L$34,"*"&amp;A32&amp;"*")</f>
        <v>1</v>
      </c>
    </row>
    <row r="33" customFormat="false" ht="46.25" hidden="false" customHeight="false" outlineLevel="0" collapsed="false">
      <c r="A33" s="6" t="s">
        <v>529</v>
      </c>
      <c r="B33" s="6" t="s">
        <v>530</v>
      </c>
      <c r="C33" s="6" t="s">
        <v>531</v>
      </c>
      <c r="D33" s="6" t="s">
        <v>532</v>
      </c>
      <c r="E33" s="6"/>
      <c r="F33" s="6" t="n">
        <f aca="false">COUNTIF(Misconceptions!$L$2:$L$34,"*"&amp;A33&amp;"*")</f>
        <v>2</v>
      </c>
    </row>
    <row r="34" customFormat="false" ht="35.05" hidden="false" customHeight="false" outlineLevel="0" collapsed="false">
      <c r="A34" s="6" t="s">
        <v>533</v>
      </c>
      <c r="B34" s="6" t="s">
        <v>530</v>
      </c>
      <c r="C34" s="6" t="s">
        <v>534</v>
      </c>
      <c r="D34" s="6" t="s">
        <v>535</v>
      </c>
      <c r="E34" s="6"/>
      <c r="F34" s="6" t="n">
        <f aca="false">COUNTIF(Misconceptions!$L$2:$L$34,"*"&amp;A34&amp;"*")</f>
        <v>2</v>
      </c>
    </row>
    <row r="35" customFormat="false" ht="15" hidden="false" customHeight="false" outlineLevel="0" collapsed="false">
      <c r="A35" s="6" t="s">
        <v>536</v>
      </c>
      <c r="B35" s="6" t="s">
        <v>537</v>
      </c>
      <c r="C35" s="6" t="s">
        <v>538</v>
      </c>
      <c r="D35" s="6" t="s">
        <v>539</v>
      </c>
      <c r="E35" s="6" t="s">
        <v>540</v>
      </c>
      <c r="F35" s="6" t="n">
        <f aca="false">COUNTIF(Misconceptions!$L$2:$L$34,"*"&amp;A35&amp;"*")</f>
        <v>3</v>
      </c>
    </row>
    <row r="36" customFormat="false" ht="23.85" hidden="false" customHeight="false" outlineLevel="0" collapsed="false">
      <c r="A36" s="6" t="s">
        <v>541</v>
      </c>
      <c r="B36" s="6" t="s">
        <v>542</v>
      </c>
      <c r="C36" s="6" t="s">
        <v>543</v>
      </c>
      <c r="D36" s="6" t="s">
        <v>544</v>
      </c>
      <c r="E36" s="6" t="s">
        <v>545</v>
      </c>
      <c r="F36" s="6" t="n">
        <f aca="false">COUNTIF(Misconceptions!$L$2:$L$34,"*"&amp;A36&amp;"*")</f>
        <v>1</v>
      </c>
    </row>
    <row r="37" customFormat="false" ht="23.85" hidden="false" customHeight="false" outlineLevel="0" collapsed="false">
      <c r="A37" s="6" t="s">
        <v>546</v>
      </c>
      <c r="B37" s="6" t="s">
        <v>547</v>
      </c>
      <c r="C37" s="6" t="s">
        <v>548</v>
      </c>
      <c r="D37" s="6" t="s">
        <v>549</v>
      </c>
      <c r="E37" s="6"/>
      <c r="F37" s="6" t="n">
        <f aca="false">COUNTIF(Misconceptions!$L$2:$L$34,"*"&amp;A37&amp;"*")</f>
        <v>3</v>
      </c>
    </row>
    <row r="38" customFormat="false" ht="35.05" hidden="false" customHeight="false" outlineLevel="0" collapsed="false">
      <c r="A38" s="6" t="s">
        <v>550</v>
      </c>
      <c r="B38" s="6" t="s">
        <v>551</v>
      </c>
      <c r="C38" s="6" t="s">
        <v>552</v>
      </c>
      <c r="D38" s="6" t="s">
        <v>553</v>
      </c>
      <c r="E38" s="6" t="s">
        <v>554</v>
      </c>
      <c r="F38" s="6" t="n">
        <f aca="false">COUNTIF(Misconceptions!$L$2:$L$34,"*"&amp;A38&amp;"*")</f>
        <v>1</v>
      </c>
    </row>
    <row r="39" customFormat="false" ht="15" hidden="false" customHeight="false" outlineLevel="0" collapsed="false">
      <c r="A39" s="6" t="s">
        <v>555</v>
      </c>
      <c r="B39" s="6" t="s">
        <v>556</v>
      </c>
      <c r="C39" s="6" t="s">
        <v>557</v>
      </c>
      <c r="D39" s="6" t="s">
        <v>558</v>
      </c>
      <c r="E39" s="6"/>
      <c r="F39" s="6" t="n">
        <f aca="false">COUNTIF(Misconceptions!$L$2:$L$34,"*"&amp;A39&amp;"*")</f>
        <v>1</v>
      </c>
    </row>
    <row r="40" customFormat="false" ht="15" hidden="false" customHeight="false" outlineLevel="0" collapsed="false">
      <c r="A40" s="6" t="s">
        <v>144</v>
      </c>
      <c r="B40" s="6" t="s">
        <v>559</v>
      </c>
      <c r="C40" s="6" t="s">
        <v>560</v>
      </c>
      <c r="D40" s="6" t="s">
        <v>561</v>
      </c>
      <c r="E40" s="6" t="s">
        <v>562</v>
      </c>
      <c r="F40" s="6" t="n">
        <f aca="false">COUNTIF(Misconceptions!$L$2:$L$34,"*"&amp;A40&amp;"*")</f>
        <v>2</v>
      </c>
    </row>
    <row r="41" customFormat="false" ht="15" hidden="false" customHeight="false" outlineLevel="0" collapsed="false">
      <c r="A41" s="6" t="s">
        <v>317</v>
      </c>
      <c r="B41" s="6" t="s">
        <v>563</v>
      </c>
      <c r="C41" s="6" t="s">
        <v>564</v>
      </c>
      <c r="D41" s="6" t="s">
        <v>565</v>
      </c>
      <c r="E41" s="6" t="s">
        <v>566</v>
      </c>
      <c r="F41" s="6" t="n">
        <f aca="false">COUNTIF(Misconceptions!$L$2:$L$34,"*"&amp;A41&amp;"*")</f>
        <v>1</v>
      </c>
    </row>
    <row r="43" customFormat="false" ht="15" hidden="false" customHeight="false" outlineLevel="0" collapsed="false">
      <c r="A43" s="14" t="s">
        <v>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2026-09-21T06:06:30Z</dcterms:created>
  <dc:creator>openpyxl</dc:creator>
  <dc:description/>
  <dc:language>en-US</dc:language>
  <cp:lastModifiedBy/>
  <dcterms:modified xsi:type="dcterms:W3CDTF">2026-09-21T06:06:30Z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