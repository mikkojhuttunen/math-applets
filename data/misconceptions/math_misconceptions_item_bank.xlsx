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isconceptions" sheetId="2" state="visible" r:id="rId4"/>
    <sheet name="Summary" sheetId="3" state="visible" r:id="rId5"/>
    <sheet name="Item bank template" sheetId="4" state="visible" r:id="rId6"/>
    <sheet name="Sources" sheetId="5" state="visible" r:id="rId7"/>
  </sheets>
  <definedNames>
    <definedName function="false" hidden="true" localSheetId="1" name="_xlnm._FilterDatabase" vbProcedure="false">Misconceptions!$A$1:$O$43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Yellow column N: map each misconception to the matching item in your Finnish_math_curriculum document.</t>
        </r>
      </text>
    </comment>
  </commentList>
</comments>
</file>

<file path=xl/sharedStrings.xml><?xml version="1.0" encoding="utf-8"?>
<sst xmlns="http://schemas.openxmlformats.org/spreadsheetml/2006/main" count="949" uniqueCount="750">
  <si>
    <t xml:space="preserve">Misconception item bank – grades 1–9</t>
  </si>
  <si>
    <t xml:space="preserve">Purpose</t>
  </si>
  <si>
    <t xml:space="preserve">A tagged catalogue of documented mathematical misconceptions and errors, with one illustrative diagnostic item per misconception, for the JAES FinnMath-teaching App (quizzes, example homeworks, definition look-up tables).</t>
  </si>
  <si>
    <t xml:space="preserve">Created</t>
  </si>
  <si>
    <t xml:space="preserve">20 September 2026, from the literature summary math_misconceptions_grades7-9_summary.docx and the bibliography math_misconceptions_grades7-9.bib (85 entries). Extended with grades 1–6 rows on 30 September 2026.</t>
  </si>
  <si>
    <t xml:space="preserve">Sheets</t>
  </si>
  <si>
    <t xml:space="preserve">Misconceptions = the catalogue (42 rows). Item bank template = where to write real items, linked to misconception IDs. Summary = counts by strand and evidence strength (formulas). Sources = references used, parsed from the .bib file.</t>
  </si>
  <si>
    <t xml:space="preserve">How to use</t>
  </si>
  <si>
    <t xml:space="preserve">1) Filter the Misconceptions sheet by strand or evidence strength. 2) Copy a row's stem and distractor into the Item bank template as a starting point, then rewrite in Finnish and adapt numbers. 3) Fill the yellow column 'Finnish curriculum item' by mapping to your Finnish_math_curriculum document.</t>
  </si>
  <si>
    <t xml:space="preserve">Editable cells</t>
  </si>
  <si>
    <t xml:space="preserve">Yellow cells with blue text are for you to edit or fill. Everything else is reference content or a formula.</t>
  </si>
  <si>
    <t xml:space="preserve">Evidence strength – Strong</t>
  </si>
  <si>
    <t xml:space="preserve">Documented in several studies or one large-sample study, checked at abstract level in this project.</t>
  </si>
  <si>
    <t xml:space="preserve">Evidence strength – Moderate</t>
  </si>
  <si>
    <t xml:space="preserve">At least one empirical study or a review checked at abstract level; the exact item wording here is illustrative.</t>
  </si>
  <si>
    <t xml:space="preserve">Evidence strength – Limited</t>
  </si>
  <si>
    <t xml:space="preserve">Mentioned in a review, tied to a study only by title, recalled from the literature, or the item is not the study's own. Check the full text before relying on it.</t>
  </si>
  <si>
    <t xml:space="preserve">Important caveats</t>
  </si>
  <si>
    <t xml:space="preserve">Items were written for this project, not taken from the studies. The wrong answer shown is the most typical option, not a measured majority answer. Most evidence is from outside Finland. Finnish decimal comma is used in the items; keep it in translations. Evidence was read at abstract or excerpt level except the Finnish percentage study.</t>
  </si>
  <si>
    <t xml:space="preserve">Licences</t>
  </si>
  <si>
    <t xml:space="preserve">No third-party item text was copied. If you seed the bank from the Eedi Kaggle dataset or the Otero et al. (2024) benchmark, check their licences first.</t>
  </si>
  <si>
    <t xml:space="preserve">Grade band</t>
  </si>
  <si>
    <t xml:space="preserve">Grades (1–9) where the topic is taught according to the OPS_1-6 and OPS_7-9 files, not the ages in the study samples. Rows catalogued before September 30 are 7–9 unless the topic is taught earlier. The Finnish curriculum item column holds A12. and A36. IDs from OPS_1-6; add S-IDs from OPS_7-9 with a semicolon.</t>
  </si>
  <si>
    <t xml:space="preserve">Added 30 September 2026</t>
  </si>
  <si>
    <t xml:space="preserve">9 rows for grades 1–6: NUM-09 to NUM-13, ALG-13, GEO-03, MEA-01, MEA-02 (new Measurement strand). Existing rows were mapped to A12./A36. IDs only where a primary counterpart clearly exists (ALG-06, NUM-01 to NUM-05, GEO-01, GEO-02, PRO-03, PRO-04). NUM-10, GEO-03 and MEA-02 are Limited evidence. Example wrong answers are illustrative. Sources added to the Sources sheet. Evidence check the same day: NUM-10 raised to Moderate and its item changed to 453 − 127 (a study-recommended item type), GEO-03 reworded, MEA-01 gained a second source, MEA-02 stays Limited (no study located), NUM-13 added, NUM-03 gained a Finnish source.</t>
  </si>
  <si>
    <t xml:space="preserve">EXPERT REVIEW REQUIRED</t>
  </si>
  <si>
    <t xml:space="preserve">Not legal advice. Using items from this bank with pupils in grades 1–6 must not involve collecting or storing data about the pupils, or sending their input to a third-party or AI service, until a data protection officer, legal counsel and a research ethics committee have reviewed and signed off (docs/privacy/expert_review_signoff_template.md). Use synthetic data until then.</t>
  </si>
  <si>
    <t xml:space="preserve">ID</t>
  </si>
  <si>
    <t xml:space="preserve">Strand</t>
  </si>
  <si>
    <t xml:space="preserve">Topic</t>
  </si>
  <si>
    <t xml:space="preserve">Misconception</t>
  </si>
  <si>
    <t xml:space="preserve">Description</t>
  </si>
  <si>
    <t xml:space="preserve">Illustrative item (stem)</t>
  </si>
  <si>
    <t xml:space="preserve">Correct answer</t>
  </si>
  <si>
    <t xml:space="preserve">Typical wrong answer (distractor)</t>
  </si>
  <si>
    <t xml:space="preserve">Why students choose it</t>
  </si>
  <si>
    <t xml:space="preserve">Sample in key sources</t>
  </si>
  <si>
    <t xml:space="preserve">Evidence strength</t>
  </si>
  <si>
    <t xml:space="preserve">Source keys (see Sources sheet)</t>
  </si>
  <si>
    <t xml:space="preserve">Curriculum area</t>
  </si>
  <si>
    <t xml:space="preserve">Finnish curriculum item (fill in)</t>
  </si>
  <si>
    <t xml:space="preserve">Grade band (curriculum)</t>
  </si>
  <si>
    <t xml:space="preserve">ALG-01</t>
  </si>
  <si>
    <t xml:space="preserve">Algebra</t>
  </si>
  <si>
    <t xml:space="preserve">Variables and letters</t>
  </si>
  <si>
    <t xml:space="preserve">Letter as object (label)</t>
  </si>
  <si>
    <t xml:space="preserve">A letter is read as a label for an object (apples, pears) instead of a number.</t>
  </si>
  <si>
    <t xml:space="preserve">Anna buys a apples at 5 cents each and p pears at 3 cents each. What does the expression 5a + 3p give?</t>
  </si>
  <si>
    <t xml:space="preserve">The total cost in cents.</t>
  </si>
  <si>
    <t xml:space="preserve">5 apples and 3 pears.</t>
  </si>
  <si>
    <t xml:space="preserve">The letters are read as names of objects and the numbers as amounts of them.</t>
  </si>
  <si>
    <t xml:space="preserve">Year 7–8, Germany (N = 2,220); Years 7–10, Australia (24 schools)</t>
  </si>
  <si>
    <t xml:space="preserve">Strong</t>
  </si>
  <si>
    <t xml:space="preserve">kuchemann1981algebra; macgregor1997notation; klingbeil2025omnipresence</t>
  </si>
  <si>
    <t xml:space="preserve">Algebra and equations</t>
  </si>
  <si>
    <t xml:space="preserve">7–9</t>
  </si>
  <si>
    <t xml:space="preserve">ALG-02</t>
  </si>
  <si>
    <t xml:space="preserve">Different letters must differ in value</t>
  </si>
  <si>
    <t xml:space="preserve">Different letters are assumed to stand for different numbers.</t>
  </si>
  <si>
    <t xml:space="preserve">Can c + d = 10 be true when c and d have the same value?</t>
  </si>
  <si>
    <t xml:space="preserve">Yes: c = 5 and d = 5.</t>
  </si>
  <si>
    <t xml:space="preserve">No, different letters must stand for different numbers.</t>
  </si>
  <si>
    <t xml:space="preserve">A letter is treated as a fixed name for one number, so two letters cannot share a value.</t>
  </si>
  <si>
    <t xml:space="preserve">Described as a well-documented preconception in a 2026 German study (authors not verified) that cites Küchemann and MacGregor &amp; Stacey</t>
  </si>
  <si>
    <t xml:space="preserve">Moderate</t>
  </si>
  <si>
    <t xml:space="preserve">kuchemann1981algebra; macgregor1997notation</t>
  </si>
  <si>
    <t xml:space="preserve">ALG-03</t>
  </si>
  <si>
    <t xml:space="preserve">Value from alphabet position</t>
  </si>
  <si>
    <t xml:space="preserve">The value of a letter is assumed from its place in the alphabet.</t>
  </si>
  <si>
    <t xml:space="preserve">n + 5 = 12. What is n?</t>
  </si>
  <si>
    <t xml:space="preserve">n = 7</t>
  </si>
  <si>
    <t xml:space="preserve">n = 14, because n is the 14th letter.</t>
  </si>
  <si>
    <t xml:space="preserve">The letter is evaluated by position, not solved for.</t>
  </si>
  <si>
    <t xml:space="preserve">Mentioned as a documented numerical preconception in a 2026 German study (authors not verified)</t>
  </si>
  <si>
    <t xml:space="preserve">Limited</t>
  </si>
  <si>
    <t xml:space="preserve">kuchemann1981algebra</t>
  </si>
  <si>
    <t xml:space="preserve">ALG-04</t>
  </si>
  <si>
    <t xml:space="preserve">Expressions and notation</t>
  </si>
  <si>
    <t xml:space="preserve">Conjoining terms</t>
  </si>
  <si>
    <t xml:space="preserve">Terms are joined into a single term to 'finish' the expression.</t>
  </si>
  <si>
    <t xml:space="preserve">Simplify 3x + 8.</t>
  </si>
  <si>
    <t xml:space="preserve">3x + 8 (it cannot be simplified further).</t>
  </si>
  <si>
    <t xml:space="preserve">11x</t>
  </si>
  <si>
    <t xml:space="preserve">The '+' is read as a request to produce one answer, so numbers and letter terms are combined.</t>
  </si>
  <si>
    <t xml:space="preserve">Years 7–10, Australia (24 schools)</t>
  </si>
  <si>
    <t xml:space="preserve">macgregor1997notation; kuchemann1981algebra</t>
  </si>
  <si>
    <t xml:space="preserve">ALG-05</t>
  </si>
  <si>
    <t xml:space="preserve">Juxtaposition read as place value</t>
  </si>
  <si>
    <t xml:space="preserve">In 2a the letter and number are read like digits in a numeral.</t>
  </si>
  <si>
    <t xml:space="preserve">If a = 5, what is the value of 2a?</t>
  </si>
  <si>
    <t xml:space="preserve">10</t>
  </si>
  <si>
    <t xml:space="preserve">25</t>
  </si>
  <si>
    <t xml:space="preserve">Analogy with place-value notation, where 25 means 2 tens and 5 ones.</t>
  </si>
  <si>
    <t xml:space="preserve">Years 7–10, Australia (24 schools); origins described as analogies with familiar symbol systems</t>
  </si>
  <si>
    <t xml:space="preserve">macgregor1997notation</t>
  </si>
  <si>
    <t xml:space="preserve">ALG-06</t>
  </si>
  <si>
    <t xml:space="preserve">Equal sign</t>
  </si>
  <si>
    <t xml:space="preserve">Operational reading of '='</t>
  </si>
  <si>
    <t xml:space="preserve">'=' is read as 'the answer comes next' rather than 'both sides have the same value'.</t>
  </si>
  <si>
    <t xml:space="preserve">Fill in the box: 8 + 4 = □ + 5</t>
  </si>
  <si>
    <t xml:space="preserve">7</t>
  </si>
  <si>
    <t xml:space="preserve">12 (or 17).</t>
  </si>
  <si>
    <t xml:space="preserve">The student adds the numbers on the left and writes the result, ignoring the right side.</t>
  </si>
  <si>
    <t xml:space="preserve">Middle school, U.S.; many earlier studies</t>
  </si>
  <si>
    <t xml:space="preserve">kieran1981equality; knuth2006equal</t>
  </si>
  <si>
    <t xml:space="preserve">A12.S2.08; A36.S3.03</t>
  </si>
  <si>
    <t xml:space="preserve">1–9</t>
  </si>
  <si>
    <t xml:space="preserve">ALG-07</t>
  </si>
  <si>
    <t xml:space="preserve">Solving equations</t>
  </si>
  <si>
    <t xml:space="preserve">Sign errors and one-sided operations</t>
  </si>
  <si>
    <t xml:space="preserve">Terms are moved without changing sign, or an operation is applied to only one side.</t>
  </si>
  <si>
    <t xml:space="preserve">Solve 3x + 5 = 20.</t>
  </si>
  <si>
    <t xml:space="preserve">x = 5</t>
  </si>
  <si>
    <t xml:space="preserve">x = 25/3 (from 3x = 20 + 5).</t>
  </si>
  <si>
    <t xml:space="preserve">'Moving' 5 across the equal sign without inverting the operation.</t>
  </si>
  <si>
    <t xml:space="preserve">Algebra I, U.S. (error analysis over the school year)</t>
  </si>
  <si>
    <t xml:space="preserve">booth2014persistent; kieran2007learning; bush2013prerequisite</t>
  </si>
  <si>
    <t xml:space="preserve">ALG-08</t>
  </si>
  <si>
    <t xml:space="preserve">Brackets and distribution</t>
  </si>
  <si>
    <t xml:space="preserve">Distributive law applied to one term</t>
  </si>
  <si>
    <t xml:space="preserve">A multiplier is applied to the first term in a bracket only ('linear extrapolation').</t>
  </si>
  <si>
    <t xml:space="preserve">Expand 2(x + 3).</t>
  </si>
  <si>
    <t xml:space="preserve">2x + 6</t>
  </si>
  <si>
    <t xml:space="preserve">2x + 3</t>
  </si>
  <si>
    <t xml:space="preserve">A valid rule is extended to a new situation but applied partially.</t>
  </si>
  <si>
    <t xml:space="preserve">High-school algebra error models; middle-grade reviews</t>
  </si>
  <si>
    <t xml:space="preserve">matz1982process; bush2013prerequisite</t>
  </si>
  <si>
    <t xml:space="preserve">ALG-09</t>
  </si>
  <si>
    <t xml:space="preserve">Brackets and powers</t>
  </si>
  <si>
    <t xml:space="preserve">Square of a sum</t>
  </si>
  <si>
    <t xml:space="preserve">The power is distributed over addition.</t>
  </si>
  <si>
    <t xml:space="preserve">Expand (a + b)².</t>
  </si>
  <si>
    <t xml:space="preserve">a² + 2ab + b²</t>
  </si>
  <si>
    <t xml:space="preserve">a² + b²</t>
  </si>
  <si>
    <t xml:space="preserve">Distribution of the exponent over a sum, by analogy with (ab)² = a²b².</t>
  </si>
  <si>
    <t xml:space="preserve">ALG-10</t>
  </si>
  <si>
    <t xml:space="preserve">Translating word problems</t>
  </si>
  <si>
    <t xml:space="preserve">Reversal error</t>
  </si>
  <si>
    <t xml:space="preserve">The letters follow the order of words in the sentence.</t>
  </si>
  <si>
    <t xml:space="preserve">There are 6 times as many students (S) as professors (P). Which equation is correct?</t>
  </si>
  <si>
    <t xml:space="preserve">S = 6P</t>
  </si>
  <si>
    <t xml:space="preserve">6S = P</t>
  </si>
  <si>
    <t xml:space="preserve">Word order is mapped directly to symbol order ('6 S ... P').</t>
  </si>
  <si>
    <t xml:space="preserve">Students and professors problem; classic and replicated studies</t>
  </si>
  <si>
    <t xml:space="preserve">clement1981translation; clement1982algebra</t>
  </si>
  <si>
    <t xml:space="preserve">ALG-11</t>
  </si>
  <si>
    <t xml:space="preserve">Negative numbers and the minus sign</t>
  </si>
  <si>
    <t xml:space="preserve">Minus sign not distributed</t>
  </si>
  <si>
    <t xml:space="preserve">The minus sign before a bracket is applied to the first term only.</t>
  </si>
  <si>
    <t xml:space="preserve">Simplify −(x − 3).</t>
  </si>
  <si>
    <t xml:space="preserve">−x + 3</t>
  </si>
  <si>
    <t xml:space="preserve">−x − 3</t>
  </si>
  <si>
    <t xml:space="preserve">The minus is read as belonging to x, not to the whole bracket.</t>
  </si>
  <si>
    <t xml:space="preserve">Interviews with 12 eighth-graders, Belgium</t>
  </si>
  <si>
    <t xml:space="preserve">vlassis2004minus</t>
  </si>
  <si>
    <t xml:space="preserve">ALG-12</t>
  </si>
  <si>
    <t xml:space="preserve">Subtraction of a negative number</t>
  </si>
  <si>
    <t xml:space="preserve">Natural-number rules about subtraction are carried over to negatives.</t>
  </si>
  <si>
    <t xml:space="preserve">Calculate 5 − (−2).</t>
  </si>
  <si>
    <t xml:space="preserve">3</t>
  </si>
  <si>
    <t xml:space="preserve">'Subtracting makes smaller' is applied without regard to the sign of the subtrahend.</t>
  </si>
  <si>
    <t xml:space="preserve">Related findings from interviews with 12 eighth-graders, Belgium (indirect)</t>
  </si>
  <si>
    <t xml:space="preserve">NUM-01</t>
  </si>
  <si>
    <t xml:space="preserve">Number</t>
  </si>
  <si>
    <t xml:space="preserve">Decimals</t>
  </si>
  <si>
    <t xml:space="preserve">Longer decimal is larger</t>
  </si>
  <si>
    <t xml:space="preserve">The decimal with more digits is judged larger.</t>
  </si>
  <si>
    <t xml:space="preserve">Which is larger: 0,45 or 0,6?</t>
  </si>
  <si>
    <t xml:space="preserve">0,6</t>
  </si>
  <si>
    <t xml:space="preserve">0,45</t>
  </si>
  <si>
    <t xml:space="preserve">Digits after the comma are read as a whole number (45 &gt; 6).</t>
  </si>
  <si>
    <t xml:space="preserve">3,000+ students in grades 4–10, Australia (about 10,000 tests)</t>
  </si>
  <si>
    <t xml:space="preserve">steinle2004longitudinal; steinle2004persistence; steinle2004changes</t>
  </si>
  <si>
    <t xml:space="preserve">Numbers and percentages</t>
  </si>
  <si>
    <t xml:space="preserve">A36.S2.13</t>
  </si>
  <si>
    <t xml:space="preserve">4–9</t>
  </si>
  <si>
    <t xml:space="preserve">NUM-02</t>
  </si>
  <si>
    <t xml:space="preserve">Shorter decimal is larger</t>
  </si>
  <si>
    <t xml:space="preserve">The decimal with fewer digits is judged larger.</t>
  </si>
  <si>
    <t xml:space="preserve">Which is larger: 0,4 or 0,45?</t>
  </si>
  <si>
    <t xml:space="preserve">0,4</t>
  </si>
  <si>
    <t xml:space="preserve">Hundredths are believed to be larger than tenths (as with 1/100 vs 1/10 reversed).</t>
  </si>
  <si>
    <t xml:space="preserve">3,000+ students in grades 4–10, Australia; about 900 followed longitudinally</t>
  </si>
  <si>
    <t xml:space="preserve">steinle2004persistence; steinle2004longitudinal</t>
  </si>
  <si>
    <t xml:space="preserve">NUM-03</t>
  </si>
  <si>
    <t xml:space="preserve">Fractions</t>
  </si>
  <si>
    <t xml:space="preserve">Whole-number bias in fraction addition</t>
  </si>
  <si>
    <t xml:space="preserve">Numerators and denominators are added separately.</t>
  </si>
  <si>
    <t xml:space="preserve">Calculate 1/8 + 1/8.</t>
  </si>
  <si>
    <t xml:space="preserve">1/4</t>
  </si>
  <si>
    <t xml:space="preserve">2/16</t>
  </si>
  <si>
    <t xml:space="preserve">Numerator and denominator are treated as independent whole numbers.</t>
  </si>
  <si>
    <t xml:space="preserve">Reviews and studies across grades Finnish sample: students with a natural-number-bias profile (n = 38; Van Hoof et al., 2025).</t>
  </si>
  <si>
    <t xml:space="preserve">ni2005whole; siegler2017hard; vanhoof2025anxiety</t>
  </si>
  <si>
    <t xml:space="preserve">A36.S2.12</t>
  </si>
  <si>
    <t xml:space="preserve">NUM-04</t>
  </si>
  <si>
    <t xml:space="preserve">Fractions and decimals</t>
  </si>
  <si>
    <t xml:space="preserve">Multiplication always makes bigger</t>
  </si>
  <si>
    <t xml:space="preserve">The result of multiplying is expected to exceed both factors.</t>
  </si>
  <si>
    <t xml:space="preserve">Is 0,5 × 8 greater or smaller than 8?</t>
  </si>
  <si>
    <t xml:space="preserve">Smaller.</t>
  </si>
  <si>
    <t xml:space="preserve">Greater.</t>
  </si>
  <si>
    <t xml:space="preserve">Whole-number experience: multiplying makes larger.</t>
  </si>
  <si>
    <t xml:space="preserve">Middle-school students and pre-service teachers answered below chance on such items</t>
  </si>
  <si>
    <t xml:space="preserve">siegler2015conceptual; siegler2017hard</t>
  </si>
  <si>
    <t xml:space="preserve">A36.S2.14</t>
  </si>
  <si>
    <t xml:space="preserve">NUM-05</t>
  </si>
  <si>
    <t xml:space="preserve">Division always makes smaller</t>
  </si>
  <si>
    <t xml:space="preserve">The result of dividing is expected to be less than the dividend.</t>
  </si>
  <si>
    <t xml:space="preserve">Calculate 8 ÷ 0,5.</t>
  </si>
  <si>
    <t xml:space="preserve">16</t>
  </si>
  <si>
    <t xml:space="preserve">4</t>
  </si>
  <si>
    <t xml:space="preserve">Whole-number experience: dividing makes smaller (or halving is applied).</t>
  </si>
  <si>
    <t xml:space="preserve">Middle-school students and pre-service teachers (direction-of-effect tasks)</t>
  </si>
  <si>
    <t xml:space="preserve">A36.S2.07; A36.S2.14</t>
  </si>
  <si>
    <t xml:space="preserve">NUM-06</t>
  </si>
  <si>
    <t xml:space="preserve">Rational numbers</t>
  </si>
  <si>
    <t xml:space="preserve">No number between 0,3 and 0,4</t>
  </si>
  <si>
    <t xml:space="preserve">Rational numbers are treated as discrete, like whole numbers.</t>
  </si>
  <si>
    <t xml:space="preserve">How many numbers lie between 0,3 and 0,4?</t>
  </si>
  <si>
    <t xml:space="preserve">Infinitely many.</t>
  </si>
  <si>
    <t xml:space="preserve">None (or only 0,35).</t>
  </si>
  <si>
    <t xml:space="preserve">Natural-number successor thinking is applied to decimals.</t>
  </si>
  <si>
    <t xml:space="preserve">1,343 students in grades 4–12, Belgium; Finnish upper-secondary study on number concept</t>
  </si>
  <si>
    <t xml:space="preserve">vanhoof2015inappropriately; vamvakoussi2010many; merenluoto2004number</t>
  </si>
  <si>
    <t xml:space="preserve">NUM-07</t>
  </si>
  <si>
    <t xml:space="preserve">Percentages</t>
  </si>
  <si>
    <t xml:space="preserve">Wrong base in reverse percentage</t>
  </si>
  <si>
    <t xml:space="preserve">The given (new) amount is treated as the base value.</t>
  </si>
  <si>
    <t xml:space="preserve">A can now holds 180 g, which is 20 % more than last year. How much did it hold last year?</t>
  </si>
  <si>
    <t xml:space="preserve">150 g</t>
  </si>
  <si>
    <t xml:space="preserve">144 g (180 g − 20 % of 180 g).</t>
  </si>
  <si>
    <t xml:space="preserve">The 20 % is taken from the new amount instead of the original amount.</t>
  </si>
  <si>
    <t xml:space="preserve">1,112 Finnish students in grades 7–9; 48 % of 580 responses were 144 g, 30 % correct</t>
  </si>
  <si>
    <t xml:space="preserve">joutsenlahti2024percentage; shahbari2015resolving</t>
  </si>
  <si>
    <t xml:space="preserve">NUM-08</t>
  </si>
  <si>
    <t xml:space="preserve">Successive percentage changes</t>
  </si>
  <si>
    <t xml:space="preserve">A rise and a fall of the same percentage are assumed to cancel.</t>
  </si>
  <si>
    <t xml:space="preserve">A number of visitors rises by 10 % and then falls by 10 %. Compared with the start, the number has:</t>
  </si>
  <si>
    <t xml:space="preserve">Decreased (to 99 % of the start).</t>
  </si>
  <si>
    <t xml:space="preserve">Stayed the same.</t>
  </si>
  <si>
    <t xml:space="preserve">Percentages are treated as equal absolute amounts, ignoring the changing base.</t>
  </si>
  <si>
    <t xml:space="preserve">Task used with 1,112 Finnish students in grades 7–9 (35 % of grade 9 correct); error type not itemised in what was read</t>
  </si>
  <si>
    <t xml:space="preserve">joutsenlahti2024percentage</t>
  </si>
  <si>
    <t xml:space="preserve">PRO-01</t>
  </si>
  <si>
    <t xml:space="preserve">Proportion and geometry</t>
  </si>
  <si>
    <t xml:space="preserve">Scaling</t>
  </si>
  <si>
    <t xml:space="preserve">Illusion of linearity: area</t>
  </si>
  <si>
    <t xml:space="preserve">Doubling the side is assumed to double the area.</t>
  </si>
  <si>
    <t xml:space="preserve">The side of a square is doubled. The area becomes:</t>
  </si>
  <si>
    <t xml:space="preserve">4 times as large.</t>
  </si>
  <si>
    <t xml:space="preserve">2 times as large.</t>
  </si>
  <si>
    <t xml:space="preserve">A proportional (linear) model is applied where the relation is quadratic.</t>
  </si>
  <si>
    <t xml:space="preserve">Ages 12–16, Belgium (interviews and tests)</t>
  </si>
  <si>
    <t xml:space="preserve">debock2002improper; vandooren2008linear</t>
  </si>
  <si>
    <t xml:space="preserve">Proportion, geometry</t>
  </si>
  <si>
    <t xml:space="preserve">PRO-02</t>
  </si>
  <si>
    <t xml:space="preserve">Illusion of linearity: volume</t>
  </si>
  <si>
    <t xml:space="preserve">Doubling the edge is assumed to double the volume.</t>
  </si>
  <si>
    <t xml:space="preserve">The edge of a cube is doubled. The volume becomes:</t>
  </si>
  <si>
    <t xml:space="preserve">8 times as large.</t>
  </si>
  <si>
    <t xml:space="preserve">2 times as large (or 4 times).</t>
  </si>
  <si>
    <t xml:space="preserve">A proportional model is applied to a cubic relation.</t>
  </si>
  <si>
    <t xml:space="preserve">PRO-03</t>
  </si>
  <si>
    <t xml:space="preserve">Area and perimeter</t>
  </si>
  <si>
    <t xml:space="preserve">Same perimeter means same area</t>
  </si>
  <si>
    <t xml:space="preserve">Equal perimeters are assumed to imply equal areas ('same A, same B').</t>
  </si>
  <si>
    <t xml:space="preserve">A 5 cm × 1 cm rectangle and a 3 cm × 3 cm square have the same perimeter. Do they have the same area?</t>
  </si>
  <si>
    <t xml:space="preserve">No: 5 cm² and 9 cm².</t>
  </si>
  <si>
    <t xml:space="preserve">Yes, the perimeters are equal.</t>
  </si>
  <si>
    <t xml:space="preserve">An intuitive rule: if one quantity is equal, the other is equal too.</t>
  </si>
  <si>
    <t xml:space="preserve">28 grade 7 students in an intervention study; rule documented across topics</t>
  </si>
  <si>
    <t xml:space="preserve">tirosh1999intuitive; stavy2000how; awawdehshahbari2021cognitive</t>
  </si>
  <si>
    <t xml:space="preserve">A36.S4.09</t>
  </si>
  <si>
    <t xml:space="preserve">3–9</t>
  </si>
  <si>
    <t xml:space="preserve">PRO-04</t>
  </si>
  <si>
    <t xml:space="preserve">Larger perimeter means larger area</t>
  </si>
  <si>
    <t xml:space="preserve">A rise in perimeter is assumed to raise the area ('more A, more B').</t>
  </si>
  <si>
    <t xml:space="preserve">Shape P has a larger perimeter than shape Q. Must P also have a larger area?</t>
  </si>
  <si>
    <t xml:space="preserve">No, not necessarily.</t>
  </si>
  <si>
    <t xml:space="preserve">Yes, a longer boundary encloses more.</t>
  </si>
  <si>
    <t xml:space="preserve">An intuitive rule: more of one quantity means more of another.</t>
  </si>
  <si>
    <t xml:space="preserve">Intuitive-rule studies (Israel and cross-cultural)</t>
  </si>
  <si>
    <t xml:space="preserve">tirosh1999intuitive; stavy2000how</t>
  </si>
  <si>
    <t xml:space="preserve">GEO-01</t>
  </si>
  <si>
    <t xml:space="preserve">Geometry</t>
  </si>
  <si>
    <t xml:space="preserve">Shapes and definitions</t>
  </si>
  <si>
    <t xml:space="preserve">Prototype-bound concept of triangle</t>
  </si>
  <si>
    <t xml:space="preserve">Only shapes close to a prototype (symmetrical, base down) are accepted.</t>
  </si>
  <si>
    <t xml:space="preserve">A scalene triangle is drawn tilted on one side. Is it a triangle?</t>
  </si>
  <si>
    <t xml:space="preserve">Yes: any closed shape with three straight sides is a triangle.</t>
  </si>
  <si>
    <t xml:space="preserve">No, it is not a proper triangle.</t>
  </si>
  <si>
    <t xml:space="preserve">The concept image is tied to a familiar prototype figure.</t>
  </si>
  <si>
    <t xml:space="preserve">Quadrilateral and prototype studies (263 learners in Fujita &amp; Jones); 241 pupils in grades 7–9, Tampere (Silfverberg)</t>
  </si>
  <si>
    <t xml:space="preserve">fujita2007learners; silfverberg1999geometrisen; silfverberg2019geometrical</t>
  </si>
  <si>
    <t xml:space="preserve">A36.S4.03</t>
  </si>
  <si>
    <t xml:space="preserve">GEO-02</t>
  </si>
  <si>
    <t xml:space="preserve">A square is not a rectangle</t>
  </si>
  <si>
    <t xml:space="preserve">Classes of shapes are treated as separate rather than nested.</t>
  </si>
  <si>
    <t xml:space="preserve">Is every square also a rectangle?</t>
  </si>
  <si>
    <t xml:space="preserve">Yes: a square has all the properties of a rectangle.</t>
  </si>
  <si>
    <t xml:space="preserve">No, they are different shapes.</t>
  </si>
  <si>
    <t xml:space="preserve">Partitional classification based on appearance and prototypes.</t>
  </si>
  <si>
    <t xml:space="preserve">Grade 8, Germany (Heinze, 2002); learners in Fujita (2012)</t>
  </si>
  <si>
    <t xml:space="preserve">heinze2002quadrat; fujita2012learners; fujita2007learners</t>
  </si>
  <si>
    <t xml:space="preserve">FUN-01</t>
  </si>
  <si>
    <t xml:space="preserve">Functions and graphs</t>
  </si>
  <si>
    <t xml:space="preserve">Reading graphs</t>
  </si>
  <si>
    <t xml:space="preserve">Graph as picture</t>
  </si>
  <si>
    <t xml:space="preserve">A graph is read as a picture of the situation.</t>
  </si>
  <si>
    <t xml:space="preserve">A cyclist rides down a hill, along a flat road, then up a hill. Which speed–time graph is correct?</t>
  </si>
  <si>
    <t xml:space="preserve">Speed rises, stays roughly constant, then falls.</t>
  </si>
  <si>
    <t xml:space="preserve">A graph shaped like the hill and valley.</t>
  </si>
  <si>
    <t xml:space="preserve">Visual features of the scene are matched to the graph's shape.</t>
  </si>
  <si>
    <t xml:space="preserve">Reviews and physics-education studies; 895 high-school and college students (Beichner)</t>
  </si>
  <si>
    <t xml:space="preserve">clement1985misconceptions; beichner1994testing; leinhardt1990functions</t>
  </si>
  <si>
    <t xml:space="preserve">Functions</t>
  </si>
  <si>
    <t xml:space="preserve">FUN-02</t>
  </si>
  <si>
    <t xml:space="preserve">Slope–height confusion</t>
  </si>
  <si>
    <t xml:space="preserve">Height of a graph is used where slope is needed.</t>
  </si>
  <si>
    <t xml:space="preserve">Two distance–time graphs cross at t = 4. At t = 2, which object moves faster?</t>
  </si>
  <si>
    <t xml:space="preserve">The one with the steeper line.</t>
  </si>
  <si>
    <t xml:space="preserve">The one that is higher (has travelled farther) at t = 2.</t>
  </si>
  <si>
    <t xml:space="preserve">Height is a more salient feature than slope.</t>
  </si>
  <si>
    <t xml:space="preserve">Clement (1985): as many as half answered the slower one; 114 Croatian students aged 15–16 showed it in maths and physics</t>
  </si>
  <si>
    <t xml:space="preserve">clement1985misconceptions; beichner1994testing; planinic2012comparison</t>
  </si>
  <si>
    <t xml:space="preserve">FUN-03</t>
  </si>
  <si>
    <t xml:space="preserve">Slope and scale</t>
  </si>
  <si>
    <t xml:space="preserve">Slope confused with visual steepness</t>
  </si>
  <si>
    <t xml:space="preserve">The numerical slope is inferred from how steep a line looks after a change of axis scale.</t>
  </si>
  <si>
    <t xml:space="preserve">The line y = x is drawn with 1 unit on the y-axis twice as long as 1 unit on the x-axis. It looks steeper than 45°. What is its slope?</t>
  </si>
  <si>
    <t xml:space="preserve">1</t>
  </si>
  <si>
    <t xml:space="preserve">2 (the visual steepness).</t>
  </si>
  <si>
    <t xml:space="preserve">Algebraic slope and geometric angle are treated as the same thing.</t>
  </si>
  <si>
    <t xml:space="preserve">124 participants including 11th graders (grade 7–9 frequencies not verified)</t>
  </si>
  <si>
    <t xml:space="preserve">zaslavsky2002sloppy</t>
  </si>
  <si>
    <t xml:space="preserve">FUN-04</t>
  </si>
  <si>
    <t xml:space="preserve">Function concept</t>
  </si>
  <si>
    <t xml:space="preserve">Function must have a formula or change</t>
  </si>
  <si>
    <t xml:space="preserve">A constant relation is not accepted as a function.</t>
  </si>
  <si>
    <t xml:space="preserve">Is y = 5 a function of x?</t>
  </si>
  <si>
    <t xml:space="preserve">Yes: every x gives exactly one y (namely 5).</t>
  </si>
  <si>
    <t xml:space="preserve">No, a function must change or contain x.</t>
  </si>
  <si>
    <t xml:space="preserve">Concept image differs from the formal definition.</t>
  </si>
  <si>
    <t xml:space="preserve">Concept images and definitions studied by Vinner &amp; Dreyfus; details of this item not verified</t>
  </si>
  <si>
    <t xml:space="preserve">vinner1989images; leinhardt1990functions</t>
  </si>
  <si>
    <t xml:space="preserve">FUN-05</t>
  </si>
  <si>
    <t xml:space="preserve">Linear functions</t>
  </si>
  <si>
    <t xml:space="preserve">Every linear function is proportional</t>
  </si>
  <si>
    <t xml:space="preserve">Doubling x is assumed to double y for any linear function.</t>
  </si>
  <si>
    <t xml:space="preserve">For y = 2x + 3, if x is doubled, is y doubled?</t>
  </si>
  <si>
    <t xml:space="preserve">No: e.g. x = 1 gives y = 5, x = 2 gives y = 7.</t>
  </si>
  <si>
    <t xml:space="preserve">Yes, it is a straight line.</t>
  </si>
  <si>
    <t xml:space="preserve">Linear and proportional relations are conflated.</t>
  </si>
  <si>
    <t xml:space="preserve">Linear-model overuse documented in ages 12–16; this specific function item not verified</t>
  </si>
  <si>
    <t xml:space="preserve">PRB-01</t>
  </si>
  <si>
    <t xml:space="preserve">Probability</t>
  </si>
  <si>
    <t xml:space="preserve">Random events</t>
  </si>
  <si>
    <t xml:space="preserve">Recency (gambler's fallacy)</t>
  </si>
  <si>
    <t xml:space="preserve">Past outcomes of a random process are assumed to influence the next.</t>
  </si>
  <si>
    <t xml:space="preserve">A fair coin has landed heads 4 times in a row. What is the probability of heads on the next toss?</t>
  </si>
  <si>
    <t xml:space="preserve">1/2</t>
  </si>
  <si>
    <t xml:space="preserve">Less than 1/2 (tails is 'due').</t>
  </si>
  <si>
    <t xml:space="preserve">Belief that a random sequence must 'balance out' in the short run.</t>
  </si>
  <si>
    <t xml:space="preserve">Grades 5, 7, 9, 11 and prospective teachers (Fischbein &amp; Schnarch)</t>
  </si>
  <si>
    <t xml:space="preserve">fischbein1997evolution</t>
  </si>
  <si>
    <t xml:space="preserve">Probability and statistics</t>
  </si>
  <si>
    <t xml:space="preserve">PRB-02</t>
  </si>
  <si>
    <t xml:space="preserve">Comparing chances</t>
  </si>
  <si>
    <t xml:space="preserve">More black marbles means higher chance</t>
  </si>
  <si>
    <t xml:space="preserve">The absolute count is used instead of the proportion.</t>
  </si>
  <si>
    <t xml:space="preserve">Jar 1 has 6 black marbles out of 8. Jar 2 has 3 black marbles out of 4. Which jar gives the higher chance of drawing black?</t>
  </si>
  <si>
    <t xml:space="preserve">Both are equal (3/4).</t>
  </si>
  <si>
    <t xml:space="preserve">Jar 1, because it has more black marbles.</t>
  </si>
  <si>
    <t xml:space="preserve">An intuitive rule: more of one quantity (black marbles) means more of another (chance).</t>
  </si>
  <si>
    <t xml:space="preserve">NUM-09</t>
  </si>
  <si>
    <t xml:space="preserve">Place value</t>
  </si>
  <si>
    <t xml:space="preserve">Multi-digit number read as separate digits</t>
  </si>
  <si>
    <t xml:space="preserve">A number such as 706 is handled as single digits placed side by side, so the value of a digit does not depend on its place.</t>
  </si>
  <si>
    <t xml:space="preserve">In the number 706, what is the value of the digit 7?</t>
  </si>
  <si>
    <t xml:space="preserve">700 (seven hundreds).</t>
  </si>
  <si>
    <t xml:space="preserve">7.</t>
  </si>
  <si>
    <t xml:space="preserve">The digit is read by its face value; tens, hundreds and ones are not treated as units.</t>
  </si>
  <si>
    <t xml:space="preserve">Conceptual structures for multidigit numbers described across four teaching projects (grades 1–3); sample sizes not read</t>
  </si>
  <si>
    <t xml:space="preserve">fuson1997children</t>
  </si>
  <si>
    <t xml:space="preserve">A12.S2.06; A36.S2.01</t>
  </si>
  <si>
    <t xml:space="preserve">1–4</t>
  </si>
  <si>
    <t xml:space="preserve">NUM-10</t>
  </si>
  <si>
    <t xml:space="preserve">Written subtraction</t>
  </si>
  <si>
    <t xml:space="preserve">Smaller digit subtracted from larger</t>
  </si>
  <si>
    <t xml:space="preserve">When the top digit in a column is smaller, the smaller digit is subtracted from the larger one, so no regrouping takes place. Two related variants: the next digit is also reduced by one, or regrouping is done but the next digit is not reduced.</t>
  </si>
  <si>
    <t xml:space="preserve">Calculate 453 − 127.</t>
  </si>
  <si>
    <t xml:space="preserve">326</t>
  </si>
  <si>
    <t xml:space="preserve">334 (3 − 7 taken as 7 − 3). Related wrong answers: 324 and 336.</t>
  </si>
  <si>
    <t xml:space="preserve">Regrouping across a zero is avoided by reversing the subtraction in the column.</t>
  </si>
  <si>
    <t xml:space="preserve">264 third-graders in 12 Dutch schools (Vermeulen et al., 2020); the error is described there as frequent across contexts (Brown &amp; VanLehn, 1980, and later studies). Multiple-choice distractors raised the error rate, so use typed answers for diagnosis.</t>
  </si>
  <si>
    <t xml:space="preserve">vermeulen2020evaluating; brown1980repair; hennessy1993stability</t>
  </si>
  <si>
    <t xml:space="preserve">A36.S2.04</t>
  </si>
  <si>
    <t xml:space="preserve">3–6</t>
  </si>
  <si>
    <t xml:space="preserve">NUM-11</t>
  </si>
  <si>
    <t xml:space="preserve">Multiplication and division</t>
  </si>
  <si>
    <t xml:space="preserve">Wrong operation when the multiplier is below 1</t>
  </si>
  <si>
    <t xml:space="preserve">Multiplication is seen only as repeated addition of equal groups, so a multiplier below 1 seems to call for division.</t>
  </si>
  <si>
    <t xml:space="preserve">One metre of ribbon costs 4 €. Which calculation gives the price of 0,5 m?</t>
  </si>
  <si>
    <t xml:space="preserve">4 × 0,5 = 2 €</t>
  </si>
  <si>
    <t xml:space="preserve">4 : 0,5 = 8 €</t>
  </si>
  <si>
    <t xml:space="preserve">A repeated-addition model needs a whole-number multiplier; with 0,5 the situation no longer fits it.</t>
  </si>
  <si>
    <t xml:space="preserve">Grades 5, 7 and 9 (Fischbein et al., 1985); longitudinal study of grades 2–3 (Mulligan &amp; Mitchelmore, 1997)</t>
  </si>
  <si>
    <t xml:space="preserve">fischbein1985role; mulligan1997young</t>
  </si>
  <si>
    <t xml:space="preserve">A12.S2.12; A36.S2.05; A36.S2.14</t>
  </si>
  <si>
    <t xml:space="preserve">2–6</t>
  </si>
  <si>
    <t xml:space="preserve">NUM-12</t>
  </si>
  <si>
    <t xml:space="preserve">Larger denominator means larger fraction</t>
  </si>
  <si>
    <t xml:space="preserve">Whole-number ordering is applied to the numerator and denominator separately.</t>
  </si>
  <si>
    <t xml:space="preserve">Which is larger: 1/4 or 1/8?</t>
  </si>
  <si>
    <t xml:space="preserve">1/8</t>
  </si>
  <si>
    <t xml:space="preserve">The denominator 8 is larger than 4, so the fraction is read as larger.</t>
  </si>
  <si>
    <t xml:space="preserve">Natural number bias reviewed by Ni &amp; Zhou (2005); its development through primary and secondary education (Van Hoof et al., 2015); middle-school students and pre-service teachers (Siegler &amp; Lortie-Forgues, 2015)</t>
  </si>
  <si>
    <t xml:space="preserve">ni2005whole; vanhoof2015inappropriately; siegler2015conceptual</t>
  </si>
  <si>
    <t xml:space="preserve">A36.S2.11</t>
  </si>
  <si>
    <t xml:space="preserve">ALG-13</t>
  </si>
  <si>
    <t xml:space="preserve">Equal sign must come at the end</t>
  </si>
  <si>
    <t xml:space="preserve">An equation is only accepted in the form "operation = answer".</t>
  </si>
  <si>
    <t xml:space="preserve">True or false: 8 = 5 + 3?</t>
  </si>
  <si>
    <t xml:space="preserve">True.</t>
  </si>
  <si>
    <t xml:space="preserve">False, the answer must come after the equal sign.</t>
  </si>
  <si>
    <t xml:space="preserve">"=" is read as "the answer comes next", so an operation on the right side looks wrong.</t>
  </si>
  <si>
    <t xml:space="preserve">Children aged 7–11 at two US sites (McNeil &amp; Alibali, 2005); Kieran (1981)</t>
  </si>
  <si>
    <t xml:space="preserve">mcneil2005change; kieran1981equality</t>
  </si>
  <si>
    <t xml:space="preserve">1–6</t>
  </si>
  <si>
    <t xml:space="preserve">GEO-03</t>
  </si>
  <si>
    <t xml:space="preserve">Angle</t>
  </si>
  <si>
    <t xml:space="preserve">Angle size read from arm length</t>
  </si>
  <si>
    <t xml:space="preserve">The drawn length of the arms is confused with the amount of opening between them.</t>
  </si>
  <si>
    <t xml:space="preserve">Angle A is 40° and has long arms. Angle B is 60° and has short arms. Which angle is larger?</t>
  </si>
  <si>
    <t xml:space="preserve">Angle B (60°).</t>
  </si>
  <si>
    <t xml:space="preserve">Angle A, because its arms are longer.</t>
  </si>
  <si>
    <t xml:space="preserve">The opening is the least salient feature of the angle; the arms are what is seen.</t>
  </si>
  <si>
    <t xml:space="preserve">Angle concept development in 192 children, grades 2–8 (Mitchelmore &amp; White, 2000): identifying the two arms is the main difficulty. A grade 3–4 teaching study (White &amp; Mitchelmore) found the opening least salient; arm length as a distractor is one classroom episode, not a measured rate.</t>
  </si>
  <si>
    <t xml:space="preserve">mitchelmore2000development; whitemitchelmore_pme_angles</t>
  </si>
  <si>
    <t xml:space="preserve">A36.S4.04</t>
  </si>
  <si>
    <t xml:space="preserve">MEA-01</t>
  </si>
  <si>
    <t xml:space="preserve">Measurement</t>
  </si>
  <si>
    <t xml:space="preserve">Area</t>
  </si>
  <si>
    <t xml:space="preserve">Rectangle covering not seen as rows and columns</t>
  </si>
  <si>
    <t xml:space="preserve">The number of unit squares is built by adding the sides or by counting single squares, not by multiplying rows by columns.</t>
  </si>
  <si>
    <t xml:space="preserve">A rectangle is covered with 1 cm × 1 cm squares in 3 rows of 5 squares. How many squares are there?</t>
  </si>
  <si>
    <t xml:space="preserve">15</t>
  </si>
  <si>
    <t xml:space="preserve">8 (3 + 5).</t>
  </si>
  <si>
    <t xml:space="preserve">The row-and-column structure of the array is not seen, so the two numbers are added.</t>
  </si>
  <si>
    <t xml:space="preserve">115 children in grades 1–4 solving covering tasks (Outhred &amp; Mitchelmore, 2000); 445 sixth graders, with "area = length + width" among the errors shown (Tan Sisman &amp; Aksu, 2016)</t>
  </si>
  <si>
    <t xml:space="preserve">outhred2000young; sisman2016study</t>
  </si>
  <si>
    <t xml:space="preserve">Geometry and measurement</t>
  </si>
  <si>
    <t xml:space="preserve">MEA-02</t>
  </si>
  <si>
    <t xml:space="preserve">Units</t>
  </si>
  <si>
    <t xml:space="preserve">Area units converted with the linear factor</t>
  </si>
  <si>
    <t xml:space="preserve">The conversion factor between length units is applied unchanged to area units.</t>
  </si>
  <si>
    <t xml:space="preserve">How many square centimetres are in one square metre?</t>
  </si>
  <si>
    <t xml:space="preserve">10 000 cm²</t>
  </si>
  <si>
    <t xml:space="preserve">100 cm²</t>
  </si>
  <si>
    <t xml:space="preserve">1 m = 100 cm is carried over to m² and cm².</t>
  </si>
  <si>
    <t xml:space="preserve">No study located. The error is described in revision guides and in the OPS_7-9 misconception list; treat it as a teacher-reported pattern.</t>
  </si>
  <si>
    <t xml:space="preserve">none located</t>
  </si>
  <si>
    <t xml:space="preserve">A36.S4.11</t>
  </si>
  <si>
    <t xml:space="preserve">5–6</t>
  </si>
  <si>
    <t xml:space="preserve">NUM-13</t>
  </si>
  <si>
    <t xml:space="preserve">Multiplying by 10 taken as adding a zero</t>
  </si>
  <si>
    <t xml:space="preserve">A shortcut rule is applied to the written digits without place-value understanding, so it fails with decimals.</t>
  </si>
  <si>
    <t xml:space="preserve">Calculate 3,5 × 10.</t>
  </si>
  <si>
    <t xml:space="preserve">35</t>
  </si>
  <si>
    <t xml:space="preserve">3,50</t>
  </si>
  <si>
    <t xml:space="preserve">"Add a zero" is applied to the written digits; the digits are not seen as moving one place.</t>
  </si>
  <si>
    <t xml:space="preserve">530 children aged 10–11 in Australia, New Zealand and the UK: 38–62 % correct on four items, few correct explanations, most said "a zero is added" (Hurst &amp; Hurrell, 2020); the wrong answer 3,50 is illustrative</t>
  </si>
  <si>
    <t xml:space="preserve">hurst2020pseudo</t>
  </si>
  <si>
    <t xml:space="preserve">A36.S2.01; A36.S2.14</t>
  </si>
  <si>
    <t xml:space="preserve">4–6</t>
  </si>
  <si>
    <t xml:space="preserve">Counts by strand and evidence strength</t>
  </si>
  <si>
    <t xml:space="preserve">Total</t>
  </si>
  <si>
    <t xml:space="preserve">Check: rows on Misconceptions sheet</t>
  </si>
  <si>
    <t xml:space="preserve">Check: total matches</t>
  </si>
  <si>
    <t xml:space="preserve">Note: 'Proportion and geometry' holds scaling and area/perimeter items; 'Geometry' holds shape-definition and angle items; 'Measurement' holds unit and area-measurement items added for grades 1–6.</t>
  </si>
  <si>
    <t xml:space="preserve">Item ID</t>
  </si>
  <si>
    <t xml:space="preserve">Misconception ID</t>
  </si>
  <si>
    <t xml:space="preserve">Misconception (auto)</t>
  </si>
  <si>
    <t xml:space="preserve">Stem (Finnish)</t>
  </si>
  <si>
    <t xml:space="preserve">Distractor A (targets the misconception)</t>
  </si>
  <si>
    <t xml:space="preserve">Distractor B</t>
  </si>
  <si>
    <t xml:space="preserve">Distractor C</t>
  </si>
  <si>
    <t xml:space="preserve">Finnish curriculum item</t>
  </si>
  <si>
    <t xml:space="preserve">Status</t>
  </si>
  <si>
    <t xml:space="preserve">Reviewer</t>
  </si>
  <si>
    <t xml:space="preserve">Notes</t>
  </si>
  <si>
    <t xml:space="preserve">ITM-001</t>
  </si>
  <si>
    <t xml:space="preserve">Täytä laatikko: 8 + 4 = □ + 5</t>
  </si>
  <si>
    <t xml:space="preserve">12</t>
  </si>
  <si>
    <t xml:space="preserve">17</t>
  </si>
  <si>
    <t xml:space="preserve">(fill in from curriculum)</t>
  </si>
  <si>
    <t xml:space="preserve">Draft</t>
  </si>
  <si>
    <t xml:space="preserve">(name)</t>
  </si>
  <si>
    <t xml:space="preserve">EXAMPLE ROW: replace or delete. Distractor A is the operational-'=' answer.</t>
  </si>
  <si>
    <t xml:space="preserve">Legend: yellow cells with blue text are for you to fill. Column C is a formula and fills itself when you choose a misconception ID in column B. Row 2 is an example row.</t>
  </si>
  <si>
    <t xml:space="preserve">Key</t>
  </si>
  <si>
    <t xml:space="preserve">Short citation</t>
  </si>
  <si>
    <t xml:space="preserve">Title</t>
  </si>
  <si>
    <t xml:space="preserve">Venue and details</t>
  </si>
  <si>
    <t xml:space="preserve">DOI / note</t>
  </si>
  <si>
    <t xml:space="preserve">Cited by (count of misconception rows)</t>
  </si>
  <si>
    <t xml:space="preserve">awawdehshahbari2021cognitive</t>
  </si>
  <si>
    <t xml:space="preserve">Awawdeh Shahbari (2021)</t>
  </si>
  <si>
    <t xml:space="preserve">Cognitive Conflict in Technological Environment: Cognitive Process and Emotions through Intuitive Errors in Area, Perimeter and Volume</t>
  </si>
  <si>
    <t xml:space="preserve">Mathematics, 9(14), 1672</t>
  </si>
  <si>
    <t xml:space="preserve">https://doi.org/10.3390/math9141672</t>
  </si>
  <si>
    <t xml:space="preserve">beichner1994testing</t>
  </si>
  <si>
    <t xml:space="preserve">Beichner (1994)</t>
  </si>
  <si>
    <t xml:space="preserve">Testing Student Interpretation of Kinematics Graphs</t>
  </si>
  <si>
    <t xml:space="preserve">American Journal of Physics, 62(8), 750–762</t>
  </si>
  <si>
    <t xml:space="preserve">https://doi.org/10.1119/1.17449</t>
  </si>
  <si>
    <t xml:space="preserve">booth2014persistent</t>
  </si>
  <si>
    <t xml:space="preserve">Booth et al. (2014)</t>
  </si>
  <si>
    <t xml:space="preserve">Persistent and Pernicious Errors in Algebraic Problem Solving</t>
  </si>
  <si>
    <t xml:space="preserve">Journal of Problem Solving, 7(1), 10–23</t>
  </si>
  <si>
    <t xml:space="preserve">https://doi.org/10.7771/1932-6246.1161</t>
  </si>
  <si>
    <t xml:space="preserve">brown1980repair</t>
  </si>
  <si>
    <t xml:space="preserve">Brown &amp; VanLehn (1980)</t>
  </si>
  <si>
    <t xml:space="preserve">Repair Theory: A Generative Theory of Bugs in Procedural Skills</t>
  </si>
  <si>
    <t xml:space="preserve">Cognitive Science, 4(4), 379–426</t>
  </si>
  <si>
    <t xml:space="preserve">https://doi.org/10.1207/s15516709cog0404_3 (abstract read; multidigit subtraction bug database)</t>
  </si>
  <si>
    <t xml:space="preserve">bush2013prerequisite</t>
  </si>
  <si>
    <t xml:space="preserve">Bush &amp; Karp (2013)</t>
  </si>
  <si>
    <t xml:space="preserve">Prerequisite Algebra Skills and Associated Misconceptions of Middle Grade Students: A Review</t>
  </si>
  <si>
    <t xml:space="preserve">The Journal of Mathematical Behavior, 32(3), 613–632</t>
  </si>
  <si>
    <t xml:space="preserve">https://doi.org/10.1016/j.jmathb.2013.07.002</t>
  </si>
  <si>
    <t xml:space="preserve">clement1981translation</t>
  </si>
  <si>
    <t xml:space="preserve">Clement et al. (1981)</t>
  </si>
  <si>
    <t xml:space="preserve">Translation Difficulties in Learning Mathematics</t>
  </si>
  <si>
    <t xml:space="preserve">The American Mathematical Monthly, 88(4), 286–290</t>
  </si>
  <si>
    <t xml:space="preserve">https://doi.org/10.2307/2320560</t>
  </si>
  <si>
    <t xml:space="preserve">clement1982algebra</t>
  </si>
  <si>
    <t xml:space="preserve">Clement (1982)</t>
  </si>
  <si>
    <t xml:space="preserve">Algebra Word Problem Solutions: Thought Processes Underlying a Common Misconception</t>
  </si>
  <si>
    <t xml:space="preserve">Journal for Research in Mathematics Education, 13(1), 16–30</t>
  </si>
  <si>
    <t xml:space="preserve">https://doi.org/10.2307/748434</t>
  </si>
  <si>
    <t xml:space="preserve">clement1985misconceptions</t>
  </si>
  <si>
    <t xml:space="preserve">Clement (1985)</t>
  </si>
  <si>
    <t xml:space="preserve">Misconceptions in Graphing</t>
  </si>
  <si>
    <t xml:space="preserve">In Proceedings of the Ninth International Conference for the Psychology of Mathematics Education, ed. Streefland, vol. 1, 369–375</t>
  </si>
  <si>
    <t xml:space="preserve">debock2002improper</t>
  </si>
  <si>
    <t xml:space="preserve">De Bock et al. (2002)</t>
  </si>
  <si>
    <t xml:space="preserve">Improper Use of Linear Reasoning: An In-Depth Study of the Nature and the Irresistibility of Secondary School Students' Errors</t>
  </si>
  <si>
    <t xml:space="preserve">Educational Studies in Mathematics, 50(3), 311–334</t>
  </si>
  <si>
    <t xml:space="preserve">https://doi.org/10.1023/A:1021205413749</t>
  </si>
  <si>
    <t xml:space="preserve">fischbein1985role</t>
  </si>
  <si>
    <t xml:space="preserve">Fischbein et al. (1985)</t>
  </si>
  <si>
    <t xml:space="preserve">The Role of Implicit Models in Solving Verbal Problems in Multiplication and Division</t>
  </si>
  <si>
    <t xml:space="preserve">Journal for Research in Mathematics Education, 16(1), 3–17</t>
  </si>
  <si>
    <t xml:space="preserve">Reference confirmed in several citing works; article not read.</t>
  </si>
  <si>
    <t xml:space="preserve">Fischbein &amp; Schnarch (1997)</t>
  </si>
  <si>
    <t xml:space="preserve">The Evolution with Age of Probabilistic, Intuitively Based Misconceptions</t>
  </si>
  <si>
    <t xml:space="preserve">Journal for Research in Mathematics Education, 28(1), 96–105</t>
  </si>
  <si>
    <t xml:space="preserve">fujita2007learners</t>
  </si>
  <si>
    <t xml:space="preserve">Fujita &amp; Jones (2007)</t>
  </si>
  <si>
    <t xml:space="preserve">Learners' Understanding of the Definitions and Hierarchical Classification of Quadrilaterals: Towards a Theoretical Framing</t>
  </si>
  <si>
    <t xml:space="preserve">Research in Mathematics Education, 9(1--2), 3–20</t>
  </si>
  <si>
    <t xml:space="preserve">https://doi.org/10.1080/14794800008520167</t>
  </si>
  <si>
    <t xml:space="preserve">fujita2012learners</t>
  </si>
  <si>
    <t xml:space="preserve">Fujita (2012)</t>
  </si>
  <si>
    <t xml:space="preserve">Learners' Level of Understanding of the Inclusion Relations of Quadrilaterals and Prototype Phenomenon</t>
  </si>
  <si>
    <t xml:space="preserve">The Journal of Mathematical Behavior, 31(1), 60–72</t>
  </si>
  <si>
    <t xml:space="preserve">https://doi.org/10.1016/j.jmathb.2011.08.003</t>
  </si>
  <si>
    <t xml:space="preserve">Fuson et al. (1997)</t>
  </si>
  <si>
    <t xml:space="preserve">Children's Conceptual Structures for Multidigit Numbers and Methods of Multidigit Addition and Subtraction</t>
  </si>
  <si>
    <t xml:space="preserve">Journal for Research in Mathematics Education, 28(2), 130–162</t>
  </si>
  <si>
    <t xml:space="preserve">Abstract read: https://nctm.org/Publications/journal-for-research-in-mathematics-education/1997/Vol28/Issue2/Children_s-Conceptual-Structures-for-Multidigit-Numbers-and-Methods-of-Multidigit-Addition-and-Subtraction | DOI 10.5951/jresematheduc.28.2.0130 (from a citing reference list)</t>
  </si>
  <si>
    <t xml:space="preserve">heinze2002quadrat</t>
  </si>
  <si>
    <t xml:space="preserve">Heinze (2002)</t>
  </si>
  <si>
    <t xml:space="preserve">“… aber ein Quadrat ist kein Rechteck” – Schülerschwierigkeiten beim Verwenden einfacher geometrischer Begriffe in Jahrgang 8</t>
  </si>
  <si>
    <t xml:space="preserve">Zentralblatt für Didaktik der Mathematik, 34(2), 51–55</t>
  </si>
  <si>
    <t xml:space="preserve">https://doi.org/10.1007/BF02655704</t>
  </si>
  <si>
    <t xml:space="preserve">hennessy1993stability</t>
  </si>
  <si>
    <t xml:space="preserve">Hennessy (1993)</t>
  </si>
  <si>
    <t xml:space="preserve">The Stability of Children's Mathematical Behavior: When Is a Bug Really a Bug?</t>
  </si>
  <si>
    <t xml:space="preserve">Learning and Instruction, 3, 315–338</t>
  </si>
  <si>
    <t xml:space="preserve">DOI 10.1016/0959-4752(93)90022-R from Vermeulen et al. (2020) reference list; not read.</t>
  </si>
  <si>
    <t xml:space="preserve">Hurst &amp; Hurrell (2020)</t>
  </si>
  <si>
    <t xml:space="preserve">Multiplicative Thinking: 'Pseudo-Procedures' Are the Enemies of Conceptual Understanding</t>
  </si>
  <si>
    <t xml:space="preserve">International Electronic Journal of Mathematics Education, 15(3)</t>
  </si>
  <si>
    <t xml:space="preserve">Abstract read (researchonline.nd.edu.au). A 2025 review cites it as 15(2), which appears to be wrong.</t>
  </si>
  <si>
    <t xml:space="preserve">Joutsenlahti &amp; Perkkilä (2024)</t>
  </si>
  <si>
    <t xml:space="preserve">Mastery of the Concept of Percentage and Its Representations in Finnish Comprehensive School Grades 7–9</t>
  </si>
  <si>
    <t xml:space="preserve">Education Sciences, 14(10), 1043</t>
  </si>
  <si>
    <t xml:space="preserve">https://doi.org/10.3390/educsci14101043</t>
  </si>
  <si>
    <t xml:space="preserve">kieran1981equality</t>
  </si>
  <si>
    <t xml:space="preserve">Kieran (1981)</t>
  </si>
  <si>
    <t xml:space="preserve">Concepts Associated with the Equality Symbol</t>
  </si>
  <si>
    <t xml:space="preserve">Educational Studies in Mathematics, 12(3), 317–326</t>
  </si>
  <si>
    <t xml:space="preserve">https://doi.org/10.1007/BF00311062</t>
  </si>
  <si>
    <t xml:space="preserve">kieran2007learning</t>
  </si>
  <si>
    <t xml:space="preserve">Kieran (2007)</t>
  </si>
  <si>
    <t xml:space="preserve">Learning and Teaching Algebra at the Middle School through College Levels: Building Meaning for Symbols and Their Manipulation</t>
  </si>
  <si>
    <t xml:space="preserve">In Second Handbook of Research on Mathematics Teaching and Learning, ed. Lester, 707–762</t>
  </si>
  <si>
    <t xml:space="preserve">klingbeil2025omnipresence</t>
  </si>
  <si>
    <t xml:space="preserve">Klingbeil &amp; Moons (2025)</t>
  </si>
  <si>
    <t xml:space="preserve">The Omnipresence of the Letter-as-Object Misconception: A Multilevel Latent Transition Analysis on Understanding Variables</t>
  </si>
  <si>
    <t xml:space="preserve">Educational Studies in Mathematics, 120(3), 455–476</t>
  </si>
  <si>
    <t xml:space="preserve">https://doi.org/10.1007/s10649-025-10428-7</t>
  </si>
  <si>
    <t xml:space="preserve">knuth2006equal</t>
  </si>
  <si>
    <t xml:space="preserve">Knuth et al. (2006)</t>
  </si>
  <si>
    <t xml:space="preserve">Does Understanding the Equal Sign Matter? Evidence from Solving Equations</t>
  </si>
  <si>
    <t xml:space="preserve">Journal for Research in Mathematics Education, 37(4), 297–312</t>
  </si>
  <si>
    <t xml:space="preserve">Küchemann (1981)</t>
  </si>
  <si>
    <t xml:space="preserve">In Children's Understanding of Mathematics: 11–16, ed. Hart, 102–119</t>
  </si>
  <si>
    <t xml:space="preserve">leinhardt1990functions</t>
  </si>
  <si>
    <t xml:space="preserve">Leinhardt et al. (1990)</t>
  </si>
  <si>
    <t xml:space="preserve">Functions, Graphs, and Graphing: Tasks, Learning, and Teaching</t>
  </si>
  <si>
    <t xml:space="preserve">Review of Educational Research, 60(1), 1–64</t>
  </si>
  <si>
    <t xml:space="preserve">MacGregor &amp; Stacey (1997)</t>
  </si>
  <si>
    <t xml:space="preserve">Students' Understanding of Algebraic Notation: 11–15</t>
  </si>
  <si>
    <t xml:space="preserve">Educational Studies in Mathematics, 33(1), 1–19</t>
  </si>
  <si>
    <t xml:space="preserve">https://doi.org/10.1023/A:1002970913563</t>
  </si>
  <si>
    <t xml:space="preserve">matz1982process</t>
  </si>
  <si>
    <t xml:space="preserve">Matz (1982)</t>
  </si>
  <si>
    <t xml:space="preserve">Towards a Process Model for High School Algebra Errors</t>
  </si>
  <si>
    <t xml:space="preserve">In Intelligent Tutoring Systems, ed. Sleeman; Brown, 25–50</t>
  </si>
  <si>
    <t xml:space="preserve">mcneil2005change</t>
  </si>
  <si>
    <t xml:space="preserve">McNeil &amp; Alibali (2005)</t>
  </si>
  <si>
    <t xml:space="preserve">Why Won't You Change Your Mind? Knowledge of Operational Patterns Hinders Learning and Performance on Equations</t>
  </si>
  <si>
    <t xml:space="preserve">Child Development, 76, 883–899</t>
  </si>
  <si>
    <t xml:space="preserve">Reference confirmed in several citing works; findings (ages 7–11, decline from 7 to 9) read in a press summary, not the article.</t>
  </si>
  <si>
    <t xml:space="preserve">merenluoto2004number</t>
  </si>
  <si>
    <t xml:space="preserve">Merenluoto &amp; Lehtinen (2004)</t>
  </si>
  <si>
    <t xml:space="preserve">Number Concept and Conceptual Change: Towards a Systemic Model of the Processes of Change</t>
  </si>
  <si>
    <t xml:space="preserve">Learning and Instruction, 14(5), 519–534</t>
  </si>
  <si>
    <t xml:space="preserve">https://doi.org/10.1016/j.learninstruc.2004.06.016</t>
  </si>
  <si>
    <t xml:space="preserve">mitchelmore2000development</t>
  </si>
  <si>
    <t xml:space="preserve">Mitchelmore &amp; White (2000)</t>
  </si>
  <si>
    <t xml:space="preserve">Development of Angle Concepts by Progressive Abstraction and Generalisation</t>
  </si>
  <si>
    <t xml:space="preserve">Educational Studies in Mathematics, 41(3), 209–238</t>
  </si>
  <si>
    <t xml:space="preserve">From the original .bib; abstract read (192 children, grades 2–8).</t>
  </si>
  <si>
    <t xml:space="preserve">mulligan1997young</t>
  </si>
  <si>
    <t xml:space="preserve">Mulligan &amp; Mitchelmore (1997)</t>
  </si>
  <si>
    <t xml:space="preserve">Young Children's Intuitive Models of Multiplication and Division</t>
  </si>
  <si>
    <t xml:space="preserve">Journal for Research in Mathematics Education, 28(3), 309–330</t>
  </si>
  <si>
    <t xml:space="preserve">Introduction read (nctm.org PDF); title recalled.</t>
  </si>
  <si>
    <t xml:space="preserve">ni2005whole</t>
  </si>
  <si>
    <t xml:space="preserve">Ni &amp; Zhou (2005)</t>
  </si>
  <si>
    <t xml:space="preserve">Teaching and Learning Fraction and Rational Numbers: The Origins and Implications of Whole Number Bias</t>
  </si>
  <si>
    <t xml:space="preserve">Educational Psychologist, 40(1), 27–52</t>
  </si>
  <si>
    <t xml:space="preserve">https://doi.org/10.1207/s15326985ep4001_3</t>
  </si>
  <si>
    <t xml:space="preserve">outhred2000young</t>
  </si>
  <si>
    <t xml:space="preserve">Outhred &amp; Mitchelmore (2000)</t>
  </si>
  <si>
    <t xml:space="preserve">Young Children's Intuitive Understanding of Rectangular Area Measurement</t>
  </si>
  <si>
    <t xml:space="preserve">Journal for Research in Mathematics Education, 31(2), 144–167</t>
  </si>
  <si>
    <t xml:space="preserve">https://doi.org/10.2307/749749 (abstract read)</t>
  </si>
  <si>
    <t xml:space="preserve">planinic2012comparison</t>
  </si>
  <si>
    <t xml:space="preserve">Planinić et al. (2012)</t>
  </si>
  <si>
    <t xml:space="preserve">Comparison of Student Understanding of Line Graph Slope in Physics and Mathematics</t>
  </si>
  <si>
    <t xml:space="preserve">International Journal of Science and Mathematics Education, 10(6), 1393–1414</t>
  </si>
  <si>
    <t xml:space="preserve">https://doi.org/10.1007/s10763-012-9344-1</t>
  </si>
  <si>
    <t xml:space="preserve">shahbari2015resolving</t>
  </si>
  <si>
    <t xml:space="preserve">Awawdeh Shahbari &amp; Peled (2015)</t>
  </si>
  <si>
    <t xml:space="preserve">Resolving Cognitive Conflict in a Realistic Situation with Modeling Characteristics: Coping with a Changing Reference in Fractions</t>
  </si>
  <si>
    <t xml:space="preserve">International Journal of Science and Mathematics Education, 13(4), 891–907</t>
  </si>
  <si>
    <t xml:space="preserve">https://doi.org/10.1007/s10763-014-9509-1</t>
  </si>
  <si>
    <t xml:space="preserve">siegler2015conceptual</t>
  </si>
  <si>
    <t xml:space="preserve">Siegler &amp; Lortie-Forgues (2015)</t>
  </si>
  <si>
    <t xml:space="preserve">Conceptual Knowledge of Fraction Arithmetic</t>
  </si>
  <si>
    <t xml:space="preserve">Journal of Educational Psychology, 107(3), 909–918</t>
  </si>
  <si>
    <t xml:space="preserve">https://doi.org/10.1037/edu0000025</t>
  </si>
  <si>
    <t xml:space="preserve">siegler2017hard</t>
  </si>
  <si>
    <t xml:space="preserve">Siegler &amp; Lortie-Forgues (2017)</t>
  </si>
  <si>
    <t xml:space="preserve">Hard Lessons: Why Rational Number Arithmetic Is So Difficult for So Many People</t>
  </si>
  <si>
    <t xml:space="preserve">Current Directions in Psychological Science, 26(4), 346–351</t>
  </si>
  <si>
    <t xml:space="preserve">https://doi.org/10.1177/0963721417700129</t>
  </si>
  <si>
    <t xml:space="preserve">silfverberg1999geometrisen</t>
  </si>
  <si>
    <t xml:space="preserve">Silfverberg (1999)</t>
  </si>
  <si>
    <t xml:space="preserve">Peruskoulun yläasteen oppilaan geometrinen käsitetieto</t>
  </si>
  <si>
    <t xml:space="preserve">University of Tampere (doctoral thesis)</t>
  </si>
  <si>
    <t xml:space="preserve">https://trepo.tuni.fi/bitstream/handle/10024/66665/951-44-4718-2.pdf?sequence=1  |  Note: Acta Electronica Universitatis Tamperensis 6; ISBN 951-44-4718-2; includes an English summary.</t>
  </si>
  <si>
    <t xml:space="preserve">silfverberg2019geometrical</t>
  </si>
  <si>
    <t xml:space="preserve">Silfverberg (2019)</t>
  </si>
  <si>
    <t xml:space="preserve">Geometrical Conceptualization</t>
  </si>
  <si>
    <t xml:space="preserve">In International Handbook of Mathematical Learning Difficulties: From the Laboratory to the Classroom, ed. Fritz; Haase; Räsänen, 611–630</t>
  </si>
  <si>
    <t xml:space="preserve">https://doi.org/10.1007/978-3-319-97148-3_36</t>
  </si>
  <si>
    <t xml:space="preserve">sisman2016study</t>
  </si>
  <si>
    <t xml:space="preserve">Tan Sisman &amp; Aksu (2016)</t>
  </si>
  <si>
    <t xml:space="preserve">A Study on Sixth Grade Students' Misconceptions and Errors in Spatial Measurement: Length, Area, and Volume</t>
  </si>
  <si>
    <t xml:space="preserve">International Journal of Science and Mathematics Education, 14(7), 1293–1319</t>
  </si>
  <si>
    <t xml:space="preserve">https://doi.org/10.1007/s10763-015-9642-5 (abstract read; 445 sixth graders, Ankara)</t>
  </si>
  <si>
    <t xml:space="preserve">stavy2000how</t>
  </si>
  <si>
    <t xml:space="preserve">Stavy &amp; Tirosh (2000)</t>
  </si>
  <si>
    <t xml:space="preserve">How Students (Mis-)Understand Science and Mathematics: Intuitive Rules</t>
  </si>
  <si>
    <t xml:space="preserve">Teachers College Press</t>
  </si>
  <si>
    <t xml:space="preserve">steinle2004changes</t>
  </si>
  <si>
    <t xml:space="preserve">Steinle (2004)</t>
  </si>
  <si>
    <t xml:space="preserve">Changes with Age in Students' Misconceptions of Decimal Numbers</t>
  </si>
  <si>
    <t xml:space="preserve">University of Melbourne (doctoral thesis)</t>
  </si>
  <si>
    <t xml:space="preserve">steinle2004longitudinal</t>
  </si>
  <si>
    <t xml:space="preserve">Steinle &amp; Stacey (2004)</t>
  </si>
  <si>
    <t xml:space="preserve">A Longitudinal Study of Students' Understanding of Decimal Notation: An Overview and Refined Results</t>
  </si>
  <si>
    <t xml:space="preserve">In Mathematics Education for the Third Millennium: Towards 2010. Proceedings of the 27th Annual Conference of the Mathematics Education Research Group of Australasia, ed. Putt; Faragher; McLean, vol. 2, 541–548</t>
  </si>
  <si>
    <t xml:space="preserve">steinle2004persistence</t>
  </si>
  <si>
    <t xml:space="preserve">Persistence of Decimal Misconceptions and Readiness to Move to Expertise</t>
  </si>
  <si>
    <t xml:space="preserve">In Proceedings of the 28th Conference of the International Group for the Psychology of Mathematics Education, ed. Høines; Fuglestad, vol. 4, 225–232</t>
  </si>
  <si>
    <t xml:space="preserve">tirosh1999intuitive</t>
  </si>
  <si>
    <t xml:space="preserve">Tirosh &amp; Stavy (1999)</t>
  </si>
  <si>
    <t xml:space="preserve">Intuitive Rules: A Way to Explain and Predict Students' Reasoning</t>
  </si>
  <si>
    <t xml:space="preserve">Educational Studies in Mathematics, 38, 51–66</t>
  </si>
  <si>
    <t xml:space="preserve">https://doi.org/10.1023/A:1003436313032</t>
  </si>
  <si>
    <t xml:space="preserve">vamvakoussi2010many</t>
  </si>
  <si>
    <t xml:space="preserve">Vamvakoussi &amp; Vosniadou (2010)</t>
  </si>
  <si>
    <t xml:space="preserve">How Many Decimals Are There between Two Fractions? Aspects of Secondary School Students' Understanding of Rational Numbers and Their Notation</t>
  </si>
  <si>
    <t xml:space="preserve">Cognition and Instruction, 28(2), 181–209</t>
  </si>
  <si>
    <t xml:space="preserve">https://doi.org/10.1080/07370001003676603</t>
  </si>
  <si>
    <t xml:space="preserve">vandooren2008linear</t>
  </si>
  <si>
    <t xml:space="preserve">Van Dooren et al. (2008)</t>
  </si>
  <si>
    <t xml:space="preserve">The Linear Imperative: An Inventory and Conceptual Analysis of Students' Overuse of Linearity</t>
  </si>
  <si>
    <t xml:space="preserve">Journal for Research in Mathematics Education, 39(3), 311–342</t>
  </si>
  <si>
    <t xml:space="preserve">vanhoof2015inappropriately</t>
  </si>
  <si>
    <t xml:space="preserve">Van Hoof et al. (2015)</t>
  </si>
  <si>
    <t xml:space="preserve">Inappropriately Applying Natural Number Properties in Rational Number Tasks: Characterizing the Development of the Natural Number Bias through Primary and Secondary Education</t>
  </si>
  <si>
    <t xml:space="preserve">Educational Studies in Mathematics, 90(1), 39–56</t>
  </si>
  <si>
    <t xml:space="preserve">https://doi.org/10.1007/s10649-015-9613-3</t>
  </si>
  <si>
    <t xml:space="preserve">vanhoof2025anxiety</t>
  </si>
  <si>
    <t xml:space="preserve">Van Hoof et al. (2025)</t>
  </si>
  <si>
    <t xml:space="preserve">When Anxiety Grows With Knowledge: The Role of the Natural Number Bias</t>
  </si>
  <si>
    <t xml:space="preserve">Journal of Numerical Cognition, 11, e14075</t>
  </si>
  <si>
    <t xml:space="preserve">https://doi.org/10.5964/jnc.14075 (abstract read; University of Turku authors; grade not read)</t>
  </si>
  <si>
    <t xml:space="preserve">vermeulen2020evaluating</t>
  </si>
  <si>
    <t xml:space="preserve">Vermeulen et al. (2020)</t>
  </si>
  <si>
    <t xml:space="preserve">Evaluating the Characteristics of Diagnostic Items for Bridging Errors in Multi-Digit Subtraction</t>
  </si>
  <si>
    <t xml:space="preserve">Frontiers in Education, 5, 537531</t>
  </si>
  <si>
    <t xml:space="preserve">https://doi.org/10.3389/feduc.2020.537531 (full text read; 264 Dutch third-graders)</t>
  </si>
  <si>
    <t xml:space="preserve">vinner1989images</t>
  </si>
  <si>
    <t xml:space="preserve">Vinner &amp; Dreyfus (1989)</t>
  </si>
  <si>
    <t xml:space="preserve">Images and Definitions for the Concept of Function</t>
  </si>
  <si>
    <t xml:space="preserve">Journal for Research in Mathematics Education, 20(4), 356–366</t>
  </si>
  <si>
    <t xml:space="preserve">Vlassis (2004)</t>
  </si>
  <si>
    <t xml:space="preserve">Making Sense of the Minus Sign or Becoming Flexible in “Negativity”</t>
  </si>
  <si>
    <t xml:space="preserve">Learning and Instruction, 14(5), 469–484</t>
  </si>
  <si>
    <t xml:space="preserve">https://doi.org/10.1016/j.learninstruc.2004.06.012</t>
  </si>
  <si>
    <t xml:space="preserve">whitemitchelmore_pme_angles</t>
  </si>
  <si>
    <t xml:space="preserve">White &amp; Mitchelmore (year not shown)</t>
  </si>
  <si>
    <t xml:space="preserve">Teaching Angles by Abstraction from Physical Activities with Concrete Materials</t>
  </si>
  <si>
    <t xml:space="preserve">PME proceedings, vol. 4, pp. 403–410</t>
  </si>
  <si>
    <t xml:space="preserve">ERIC ED501155; full text read (25 grade 3–4 classrooms). Year not shown in the text read.</t>
  </si>
  <si>
    <t xml:space="preserve">Zaslavsky et al. (2002)</t>
  </si>
  <si>
    <t xml:space="preserve">Being Sloppy about Slope: The Effect of Changing the Scale</t>
  </si>
  <si>
    <t xml:space="preserve">Educational Studies in Mathematics, 49(1), 119–140</t>
  </si>
  <si>
    <t xml:space="preserve">https://doi.org/10.1023/A:1016093305002</t>
  </si>
  <si>
    <t xml:space="preserve">Sources are parsed from math_misconceptions_grades7-9.bib; see that file for all 85 entries and verification notes. Seven sources added on 30 September 2026 for the grades 1–6 rows are in math_misconceptions_grades1-6_additions.bib.</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</si>
</sst>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name val="Arial"/>
      <family val="2"/>
    </font>
    <font>
      <b val="true"/>
      <sz val="12"/>
      <color rgb="FF1F3A5F"/>
      <name val="Arial"/>
      <family val="0"/>
      <charset val="1"/>
    </font>
    <font>
      <i val="true"/>
      <sz val="9"/>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FFF00"/>
        <bgColor rgb="FFFFFF00"/>
      </patternFill>
    </fill>
    <fill>
      <patternFill patternType="solid">
        <fgColor rgb="FFF4F6F9"/>
        <bgColor rgb="FFFFFFFF"/>
      </patternFill>
    </fill>
  </fills>
  <borders count="2">
    <border diagonalUp="false" diagonalDown="false">
      <left/>
      <right/>
      <top/>
      <bottom/>
      <diagonal/>
    </border>
    <border diagonalUp="false" diagonalDown="false">
      <left style="thin">
        <color rgb="FFB8C2CC"/>
      </left>
      <right style="thin">
        <color rgb="FFB8C2CC"/>
      </right>
      <top style="thin">
        <color rgb="FFB8C2CC"/>
      </top>
      <bottom style="thin">
        <color rgb="FFB8C2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A5F"/>
          <bgColor rgb="FF000000"/>
        </patternFill>
      </fill>
    </dxf>
    <dxf>
      <fill>
        <patternFill patternType="solid">
          <fgColor rgb="FFF4F6F9"/>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2CC"/>
      <rgbColor rgb="FF808080"/>
      <rgbColor rgb="FF9999FF"/>
      <rgbColor rgb="FF993366"/>
      <rgbColor rgb="FFF4F6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7.25" hidden="false" customHeight="true" outlineLevel="0" collapsed="false">
      <c r="A1" s="2" t="s">
        <v>0</v>
      </c>
    </row>
    <row r="3" customFormat="false" ht="23.25" hidden="false" customHeight="true" outlineLevel="0" collapsed="false">
      <c r="A3" s="3" t="s">
        <v>1</v>
      </c>
      <c r="B3" s="4" t="s">
        <v>2</v>
      </c>
    </row>
    <row r="4" customFormat="false" ht="23.25" hidden="false" customHeight="true" outlineLevel="0" collapsed="false">
      <c r="A4" s="3" t="s">
        <v>3</v>
      </c>
      <c r="B4" s="4" t="s">
        <v>4</v>
      </c>
    </row>
    <row r="5" customFormat="false" ht="23.25" hidden="false" customHeight="true" outlineLevel="0" collapsed="false">
      <c r="A5" s="3" t="s">
        <v>5</v>
      </c>
      <c r="B5" s="4" t="s">
        <v>6</v>
      </c>
    </row>
    <row r="6" customFormat="false" ht="34.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9" customFormat="false" ht="23.25" hidden="false" customHeight="true" outlineLevel="0" collapsed="false">
      <c r="A9" s="3" t="s">
        <v>13</v>
      </c>
      <c r="B9" s="4" t="s">
        <v>14</v>
      </c>
    </row>
    <row r="10" customFormat="false" ht="23.25" hidden="false" customHeight="true" outlineLevel="0" collapsed="false">
      <c r="A10" s="3" t="s">
        <v>15</v>
      </c>
      <c r="B10" s="4" t="s">
        <v>16</v>
      </c>
    </row>
    <row r="11" customFormat="false" ht="34.5" hidden="false" customHeight="true" outlineLevel="0" collapsed="false">
      <c r="A11" s="3" t="s">
        <v>17</v>
      </c>
      <c r="B11" s="4" t="s">
        <v>18</v>
      </c>
    </row>
    <row r="12" customFormat="false" ht="23.25" hidden="false" customHeight="true" outlineLevel="0" collapsed="false">
      <c r="A12" s="3" t="s">
        <v>19</v>
      </c>
      <c r="B12" s="4" t="s">
        <v>20</v>
      </c>
    </row>
    <row r="13" customFormat="false" ht="23.25" hidden="false" customHeight="true" outlineLevel="0" collapsed="false">
      <c r="A13" s="3" t="s">
        <v>21</v>
      </c>
      <c r="B13" s="4" t="s">
        <v>22</v>
      </c>
    </row>
    <row r="14" customFormat="false" ht="23.25" hidden="false" customHeight="true" outlineLevel="0" collapsed="false">
      <c r="A14" s="3" t="s">
        <v>23</v>
      </c>
      <c r="B14" s="4" t="s">
        <v>24</v>
      </c>
    </row>
    <row r="15" customFormat="false" ht="23.25" hidden="false" customHeight="true" outlineLevel="0" collapsed="false">
      <c r="A15" s="3" t="s">
        <v>25</v>
      </c>
      <c r="B15" s="4"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22"/>
    <col collapsed="false" customWidth="true" hidden="false" outlineLevel="0" max="4" min="4" style="1" width="28"/>
    <col collapsed="false" customWidth="true" hidden="false" outlineLevel="0" max="5" min="5" style="1" width="40"/>
    <col collapsed="false" customWidth="true" hidden="false" outlineLevel="0" max="6" min="6" style="1" width="52"/>
    <col collapsed="false" customWidth="true" hidden="false" outlineLevel="0" max="7" min="7" style="1" width="30"/>
    <col collapsed="false" customWidth="true" hidden="false" outlineLevel="0" max="8" min="8" style="1" width="32"/>
    <col collapsed="false" customWidth="true" hidden="false" outlineLevel="0" max="10" min="9" style="1" width="40"/>
    <col collapsed="false" customWidth="true" hidden="false" outlineLevel="0" max="11" min="11" style="1" width="12"/>
    <col collapsed="false" customWidth="true" hidden="false" outlineLevel="0" max="12" min="12" style="1" width="40"/>
    <col collapsed="false" customWidth="true" hidden="false" outlineLevel="0" max="13" min="13" style="1" width="20"/>
    <col collapsed="false" customWidth="true" hidden="false" outlineLevel="0" max="14" min="14" style="1" width="30"/>
    <col collapsed="false" customWidth="true" hidden="false" outlineLevel="0" max="15" min="15" style="1" width="14"/>
  </cols>
  <sheetData>
    <row r="1" customFormat="false" ht="23.25" hidden="false" customHeight="true" outlineLevel="0" collapsed="false">
      <c r="A1" s="5" t="s">
        <v>27</v>
      </c>
      <c r="B1" s="5" t="s">
        <v>28</v>
      </c>
      <c r="C1" s="5" t="s">
        <v>29</v>
      </c>
      <c r="D1" s="5" t="s">
        <v>30</v>
      </c>
      <c r="E1" s="5" t="s">
        <v>31</v>
      </c>
      <c r="F1" s="5" t="s">
        <v>32</v>
      </c>
      <c r="G1" s="5" t="s">
        <v>33</v>
      </c>
      <c r="H1" s="5" t="s">
        <v>34</v>
      </c>
      <c r="I1" s="5" t="s">
        <v>35</v>
      </c>
      <c r="J1" s="5" t="s">
        <v>36</v>
      </c>
      <c r="K1" s="5" t="s">
        <v>37</v>
      </c>
      <c r="L1" s="5" t="s">
        <v>38</v>
      </c>
      <c r="M1" s="5" t="s">
        <v>39</v>
      </c>
      <c r="N1" s="5" t="s">
        <v>40</v>
      </c>
      <c r="O1" s="5" t="s">
        <v>41</v>
      </c>
    </row>
    <row r="2" customFormat="false" ht="34.5" hidden="false" customHeight="true" outlineLevel="0" collapsed="false">
      <c r="A2" s="6" t="s">
        <v>42</v>
      </c>
      <c r="B2" s="6" t="s">
        <v>43</v>
      </c>
      <c r="C2" s="6" t="s">
        <v>44</v>
      </c>
      <c r="D2" s="6" t="s">
        <v>45</v>
      </c>
      <c r="E2" s="6" t="s">
        <v>46</v>
      </c>
      <c r="F2" s="6" t="s">
        <v>47</v>
      </c>
      <c r="G2" s="6" t="s">
        <v>48</v>
      </c>
      <c r="H2" s="6" t="s">
        <v>49</v>
      </c>
      <c r="I2" s="6" t="s">
        <v>50</v>
      </c>
      <c r="J2" s="6" t="s">
        <v>51</v>
      </c>
      <c r="K2" s="6" t="s">
        <v>52</v>
      </c>
      <c r="L2" s="6" t="s">
        <v>53</v>
      </c>
      <c r="M2" s="6" t="s">
        <v>54</v>
      </c>
      <c r="N2" s="7"/>
      <c r="O2" s="6" t="s">
        <v>55</v>
      </c>
    </row>
    <row r="3" customFormat="false" ht="34.5" hidden="false" customHeight="true" outlineLevel="0" collapsed="false">
      <c r="A3" s="8" t="s">
        <v>56</v>
      </c>
      <c r="B3" s="8" t="s">
        <v>43</v>
      </c>
      <c r="C3" s="8" t="s">
        <v>44</v>
      </c>
      <c r="D3" s="8" t="s">
        <v>57</v>
      </c>
      <c r="E3" s="8" t="s">
        <v>58</v>
      </c>
      <c r="F3" s="8" t="s">
        <v>59</v>
      </c>
      <c r="G3" s="8" t="s">
        <v>60</v>
      </c>
      <c r="H3" s="8" t="s">
        <v>61</v>
      </c>
      <c r="I3" s="8" t="s">
        <v>62</v>
      </c>
      <c r="J3" s="8" t="s">
        <v>63</v>
      </c>
      <c r="K3" s="8" t="s">
        <v>64</v>
      </c>
      <c r="L3" s="8" t="s">
        <v>65</v>
      </c>
      <c r="M3" s="8" t="s">
        <v>54</v>
      </c>
      <c r="N3" s="7"/>
      <c r="O3" s="8" t="s">
        <v>55</v>
      </c>
    </row>
    <row r="4" customFormat="false" ht="34.5" hidden="false" customHeight="true" outlineLevel="0" collapsed="false">
      <c r="A4" s="6" t="s">
        <v>66</v>
      </c>
      <c r="B4" s="6" t="s">
        <v>43</v>
      </c>
      <c r="C4" s="6" t="s">
        <v>44</v>
      </c>
      <c r="D4" s="6" t="s">
        <v>67</v>
      </c>
      <c r="E4" s="6" t="s">
        <v>68</v>
      </c>
      <c r="F4" s="6" t="s">
        <v>69</v>
      </c>
      <c r="G4" s="6" t="s">
        <v>70</v>
      </c>
      <c r="H4" s="6" t="s">
        <v>71</v>
      </c>
      <c r="I4" s="6" t="s">
        <v>72</v>
      </c>
      <c r="J4" s="6" t="s">
        <v>73</v>
      </c>
      <c r="K4" s="6" t="s">
        <v>74</v>
      </c>
      <c r="L4" s="6" t="s">
        <v>75</v>
      </c>
      <c r="M4" s="6" t="s">
        <v>54</v>
      </c>
      <c r="N4" s="7"/>
      <c r="O4" s="6" t="s">
        <v>55</v>
      </c>
    </row>
    <row r="5" customFormat="false" ht="34.5" hidden="false" customHeight="true" outlineLevel="0" collapsed="false">
      <c r="A5" s="8" t="s">
        <v>76</v>
      </c>
      <c r="B5" s="8" t="s">
        <v>43</v>
      </c>
      <c r="C5" s="8" t="s">
        <v>77</v>
      </c>
      <c r="D5" s="8" t="s">
        <v>78</v>
      </c>
      <c r="E5" s="8" t="s">
        <v>79</v>
      </c>
      <c r="F5" s="8" t="s">
        <v>80</v>
      </c>
      <c r="G5" s="8" t="s">
        <v>81</v>
      </c>
      <c r="H5" s="8" t="s">
        <v>82</v>
      </c>
      <c r="I5" s="8" t="s">
        <v>83</v>
      </c>
      <c r="J5" s="8" t="s">
        <v>84</v>
      </c>
      <c r="K5" s="8" t="s">
        <v>64</v>
      </c>
      <c r="L5" s="8" t="s">
        <v>85</v>
      </c>
      <c r="M5" s="8" t="s">
        <v>54</v>
      </c>
      <c r="N5" s="7"/>
      <c r="O5" s="8" t="s">
        <v>55</v>
      </c>
    </row>
    <row r="6" customFormat="false" ht="34.5" hidden="false" customHeight="true" outlineLevel="0" collapsed="false">
      <c r="A6" s="6" t="s">
        <v>86</v>
      </c>
      <c r="B6" s="6" t="s">
        <v>43</v>
      </c>
      <c r="C6" s="6" t="s">
        <v>77</v>
      </c>
      <c r="D6" s="6" t="s">
        <v>87</v>
      </c>
      <c r="E6" s="6" t="s">
        <v>88</v>
      </c>
      <c r="F6" s="6" t="s">
        <v>89</v>
      </c>
      <c r="G6" s="6" t="s">
        <v>90</v>
      </c>
      <c r="H6" s="6" t="s">
        <v>91</v>
      </c>
      <c r="I6" s="6" t="s">
        <v>92</v>
      </c>
      <c r="J6" s="6" t="s">
        <v>93</v>
      </c>
      <c r="K6" s="6" t="s">
        <v>64</v>
      </c>
      <c r="L6" s="6" t="s">
        <v>94</v>
      </c>
      <c r="M6" s="6" t="s">
        <v>54</v>
      </c>
      <c r="N6" s="7"/>
      <c r="O6" s="6" t="s">
        <v>55</v>
      </c>
    </row>
    <row r="7" customFormat="false" ht="23.25" hidden="false" customHeight="true" outlineLevel="0" collapsed="false">
      <c r="A7" s="8" t="s">
        <v>95</v>
      </c>
      <c r="B7" s="8" t="s">
        <v>43</v>
      </c>
      <c r="C7" s="8" t="s">
        <v>96</v>
      </c>
      <c r="D7" s="8" t="s">
        <v>97</v>
      </c>
      <c r="E7" s="8" t="s">
        <v>98</v>
      </c>
      <c r="F7" s="8" t="s">
        <v>99</v>
      </c>
      <c r="G7" s="8" t="s">
        <v>100</v>
      </c>
      <c r="H7" s="8" t="s">
        <v>101</v>
      </c>
      <c r="I7" s="8" t="s">
        <v>102</v>
      </c>
      <c r="J7" s="8" t="s">
        <v>103</v>
      </c>
      <c r="K7" s="8" t="s">
        <v>52</v>
      </c>
      <c r="L7" s="8" t="s">
        <v>104</v>
      </c>
      <c r="M7" s="8" t="s">
        <v>54</v>
      </c>
      <c r="N7" s="7" t="s">
        <v>105</v>
      </c>
      <c r="O7" s="8" t="s">
        <v>106</v>
      </c>
    </row>
    <row r="8" customFormat="false" ht="23.25" hidden="false" customHeight="true" outlineLevel="0" collapsed="false">
      <c r="A8" s="6" t="s">
        <v>107</v>
      </c>
      <c r="B8" s="6" t="s">
        <v>43</v>
      </c>
      <c r="C8" s="6" t="s">
        <v>108</v>
      </c>
      <c r="D8" s="6" t="s">
        <v>109</v>
      </c>
      <c r="E8" s="6" t="s">
        <v>110</v>
      </c>
      <c r="F8" s="6" t="s">
        <v>111</v>
      </c>
      <c r="G8" s="6" t="s">
        <v>112</v>
      </c>
      <c r="H8" s="6" t="s">
        <v>113</v>
      </c>
      <c r="I8" s="6" t="s">
        <v>114</v>
      </c>
      <c r="J8" s="6" t="s">
        <v>115</v>
      </c>
      <c r="K8" s="6" t="s">
        <v>64</v>
      </c>
      <c r="L8" s="6" t="s">
        <v>116</v>
      </c>
      <c r="M8" s="6" t="s">
        <v>54</v>
      </c>
      <c r="N8" s="7"/>
      <c r="O8" s="6" t="s">
        <v>55</v>
      </c>
    </row>
    <row r="9" customFormat="false" ht="23.25" hidden="false" customHeight="true" outlineLevel="0" collapsed="false">
      <c r="A9" s="8" t="s">
        <v>117</v>
      </c>
      <c r="B9" s="8" t="s">
        <v>43</v>
      </c>
      <c r="C9" s="8" t="s">
        <v>118</v>
      </c>
      <c r="D9" s="8" t="s">
        <v>119</v>
      </c>
      <c r="E9" s="8" t="s">
        <v>120</v>
      </c>
      <c r="F9" s="8" t="s">
        <v>121</v>
      </c>
      <c r="G9" s="8" t="s">
        <v>122</v>
      </c>
      <c r="H9" s="8" t="s">
        <v>123</v>
      </c>
      <c r="I9" s="8" t="s">
        <v>124</v>
      </c>
      <c r="J9" s="8" t="s">
        <v>125</v>
      </c>
      <c r="K9" s="8" t="s">
        <v>64</v>
      </c>
      <c r="L9" s="8" t="s">
        <v>126</v>
      </c>
      <c r="M9" s="8" t="s">
        <v>54</v>
      </c>
      <c r="N9" s="7"/>
      <c r="O9" s="8" t="s">
        <v>55</v>
      </c>
    </row>
    <row r="10" customFormat="false" ht="23.25" hidden="false" customHeight="true" outlineLevel="0" collapsed="false">
      <c r="A10" s="6" t="s">
        <v>127</v>
      </c>
      <c r="B10" s="6" t="s">
        <v>43</v>
      </c>
      <c r="C10" s="6" t="s">
        <v>128</v>
      </c>
      <c r="D10" s="6" t="s">
        <v>129</v>
      </c>
      <c r="E10" s="6" t="s">
        <v>130</v>
      </c>
      <c r="F10" s="6" t="s">
        <v>131</v>
      </c>
      <c r="G10" s="6" t="s">
        <v>132</v>
      </c>
      <c r="H10" s="6" t="s">
        <v>133</v>
      </c>
      <c r="I10" s="6" t="s">
        <v>134</v>
      </c>
      <c r="J10" s="6" t="s">
        <v>125</v>
      </c>
      <c r="K10" s="6" t="s">
        <v>64</v>
      </c>
      <c r="L10" s="6" t="s">
        <v>126</v>
      </c>
      <c r="M10" s="6" t="s">
        <v>54</v>
      </c>
      <c r="N10" s="7"/>
      <c r="O10" s="6" t="s">
        <v>55</v>
      </c>
    </row>
    <row r="11" customFormat="false" ht="23.25" hidden="false" customHeight="true" outlineLevel="0" collapsed="false">
      <c r="A11" s="8" t="s">
        <v>135</v>
      </c>
      <c r="B11" s="8" t="s">
        <v>43</v>
      </c>
      <c r="C11" s="8" t="s">
        <v>136</v>
      </c>
      <c r="D11" s="8" t="s">
        <v>137</v>
      </c>
      <c r="E11" s="8" t="s">
        <v>138</v>
      </c>
      <c r="F11" s="8" t="s">
        <v>139</v>
      </c>
      <c r="G11" s="8" t="s">
        <v>140</v>
      </c>
      <c r="H11" s="8" t="s">
        <v>141</v>
      </c>
      <c r="I11" s="8" t="s">
        <v>142</v>
      </c>
      <c r="J11" s="8" t="s">
        <v>143</v>
      </c>
      <c r="K11" s="8" t="s">
        <v>52</v>
      </c>
      <c r="L11" s="8" t="s">
        <v>144</v>
      </c>
      <c r="M11" s="8" t="s">
        <v>54</v>
      </c>
      <c r="N11" s="7"/>
      <c r="O11" s="8" t="s">
        <v>55</v>
      </c>
    </row>
    <row r="12" customFormat="false" ht="23.25" hidden="false" customHeight="true" outlineLevel="0" collapsed="false">
      <c r="A12" s="6" t="s">
        <v>145</v>
      </c>
      <c r="B12" s="6" t="s">
        <v>43</v>
      </c>
      <c r="C12" s="6" t="s">
        <v>146</v>
      </c>
      <c r="D12" s="6" t="s">
        <v>147</v>
      </c>
      <c r="E12" s="6" t="s">
        <v>148</v>
      </c>
      <c r="F12" s="6" t="s">
        <v>149</v>
      </c>
      <c r="G12" s="6" t="s">
        <v>150</v>
      </c>
      <c r="H12" s="6" t="s">
        <v>151</v>
      </c>
      <c r="I12" s="6" t="s">
        <v>152</v>
      </c>
      <c r="J12" s="6" t="s">
        <v>153</v>
      </c>
      <c r="K12" s="6" t="s">
        <v>64</v>
      </c>
      <c r="L12" s="6" t="s">
        <v>154</v>
      </c>
      <c r="M12" s="6" t="s">
        <v>54</v>
      </c>
      <c r="N12" s="7"/>
      <c r="O12" s="6" t="s">
        <v>55</v>
      </c>
    </row>
    <row r="13" customFormat="false" ht="23.25" hidden="false" customHeight="true" outlineLevel="0" collapsed="false">
      <c r="A13" s="8" t="s">
        <v>155</v>
      </c>
      <c r="B13" s="8" t="s">
        <v>43</v>
      </c>
      <c r="C13" s="8" t="s">
        <v>146</v>
      </c>
      <c r="D13" s="8" t="s">
        <v>156</v>
      </c>
      <c r="E13" s="8" t="s">
        <v>157</v>
      </c>
      <c r="F13" s="8" t="s">
        <v>158</v>
      </c>
      <c r="G13" s="8" t="s">
        <v>100</v>
      </c>
      <c r="H13" s="8" t="s">
        <v>159</v>
      </c>
      <c r="I13" s="8" t="s">
        <v>160</v>
      </c>
      <c r="J13" s="8" t="s">
        <v>161</v>
      </c>
      <c r="K13" s="8" t="s">
        <v>74</v>
      </c>
      <c r="L13" s="8" t="s">
        <v>154</v>
      </c>
      <c r="M13" s="8" t="s">
        <v>54</v>
      </c>
      <c r="N13" s="7"/>
      <c r="O13" s="8" t="s">
        <v>55</v>
      </c>
    </row>
    <row r="14" customFormat="false" ht="23.25" hidden="false" customHeight="true" outlineLevel="0" collapsed="false">
      <c r="A14" s="6" t="s">
        <v>162</v>
      </c>
      <c r="B14" s="6" t="s">
        <v>163</v>
      </c>
      <c r="C14" s="6" t="s">
        <v>164</v>
      </c>
      <c r="D14" s="6" t="s">
        <v>165</v>
      </c>
      <c r="E14" s="6" t="s">
        <v>166</v>
      </c>
      <c r="F14" s="6" t="s">
        <v>167</v>
      </c>
      <c r="G14" s="6" t="s">
        <v>168</v>
      </c>
      <c r="H14" s="6" t="s">
        <v>169</v>
      </c>
      <c r="I14" s="6" t="s">
        <v>170</v>
      </c>
      <c r="J14" s="6" t="s">
        <v>171</v>
      </c>
      <c r="K14" s="6" t="s">
        <v>52</v>
      </c>
      <c r="L14" s="6" t="s">
        <v>172</v>
      </c>
      <c r="M14" s="6" t="s">
        <v>173</v>
      </c>
      <c r="N14" s="7" t="s">
        <v>174</v>
      </c>
      <c r="O14" s="6" t="s">
        <v>175</v>
      </c>
    </row>
    <row r="15" customFormat="false" ht="23.25" hidden="false" customHeight="true" outlineLevel="0" collapsed="false">
      <c r="A15" s="8" t="s">
        <v>176</v>
      </c>
      <c r="B15" s="8" t="s">
        <v>163</v>
      </c>
      <c r="C15" s="8" t="s">
        <v>164</v>
      </c>
      <c r="D15" s="8" t="s">
        <v>177</v>
      </c>
      <c r="E15" s="8" t="s">
        <v>178</v>
      </c>
      <c r="F15" s="8" t="s">
        <v>179</v>
      </c>
      <c r="G15" s="8" t="s">
        <v>169</v>
      </c>
      <c r="H15" s="8" t="s">
        <v>180</v>
      </c>
      <c r="I15" s="8" t="s">
        <v>181</v>
      </c>
      <c r="J15" s="8" t="s">
        <v>182</v>
      </c>
      <c r="K15" s="8" t="s">
        <v>52</v>
      </c>
      <c r="L15" s="8" t="s">
        <v>183</v>
      </c>
      <c r="M15" s="8" t="s">
        <v>173</v>
      </c>
      <c r="N15" s="7" t="s">
        <v>174</v>
      </c>
      <c r="O15" s="8" t="s">
        <v>175</v>
      </c>
    </row>
    <row r="16" customFormat="false" ht="23.25" hidden="false" customHeight="true" outlineLevel="0" collapsed="false">
      <c r="A16" s="6" t="s">
        <v>184</v>
      </c>
      <c r="B16" s="6" t="s">
        <v>163</v>
      </c>
      <c r="C16" s="6" t="s">
        <v>185</v>
      </c>
      <c r="D16" s="6" t="s">
        <v>186</v>
      </c>
      <c r="E16" s="6" t="s">
        <v>187</v>
      </c>
      <c r="F16" s="6" t="s">
        <v>188</v>
      </c>
      <c r="G16" s="6" t="s">
        <v>189</v>
      </c>
      <c r="H16" s="6" t="s">
        <v>190</v>
      </c>
      <c r="I16" s="6" t="s">
        <v>191</v>
      </c>
      <c r="J16" s="6" t="s">
        <v>192</v>
      </c>
      <c r="K16" s="6" t="s">
        <v>52</v>
      </c>
      <c r="L16" s="6" t="s">
        <v>193</v>
      </c>
      <c r="M16" s="6" t="s">
        <v>173</v>
      </c>
      <c r="N16" s="7" t="s">
        <v>194</v>
      </c>
      <c r="O16" s="6" t="s">
        <v>175</v>
      </c>
    </row>
    <row r="17" customFormat="false" ht="23.25" hidden="false" customHeight="true" outlineLevel="0" collapsed="false">
      <c r="A17" s="8" t="s">
        <v>195</v>
      </c>
      <c r="B17" s="8" t="s">
        <v>163</v>
      </c>
      <c r="C17" s="8" t="s">
        <v>196</v>
      </c>
      <c r="D17" s="8" t="s">
        <v>197</v>
      </c>
      <c r="E17" s="8" t="s">
        <v>198</v>
      </c>
      <c r="F17" s="8" t="s">
        <v>199</v>
      </c>
      <c r="G17" s="8" t="s">
        <v>200</v>
      </c>
      <c r="H17" s="8" t="s">
        <v>201</v>
      </c>
      <c r="I17" s="8" t="s">
        <v>202</v>
      </c>
      <c r="J17" s="8" t="s">
        <v>203</v>
      </c>
      <c r="K17" s="8" t="s">
        <v>52</v>
      </c>
      <c r="L17" s="8" t="s">
        <v>204</v>
      </c>
      <c r="M17" s="8" t="s">
        <v>173</v>
      </c>
      <c r="N17" s="7" t="s">
        <v>205</v>
      </c>
      <c r="O17" s="8" t="s">
        <v>175</v>
      </c>
    </row>
    <row r="18" customFormat="false" ht="23.25" hidden="false" customHeight="true" outlineLevel="0" collapsed="false">
      <c r="A18" s="6" t="s">
        <v>206</v>
      </c>
      <c r="B18" s="6" t="s">
        <v>163</v>
      </c>
      <c r="C18" s="6" t="s">
        <v>196</v>
      </c>
      <c r="D18" s="6" t="s">
        <v>207</v>
      </c>
      <c r="E18" s="6" t="s">
        <v>208</v>
      </c>
      <c r="F18" s="6" t="s">
        <v>209</v>
      </c>
      <c r="G18" s="6" t="s">
        <v>210</v>
      </c>
      <c r="H18" s="6" t="s">
        <v>211</v>
      </c>
      <c r="I18" s="6" t="s">
        <v>212</v>
      </c>
      <c r="J18" s="6" t="s">
        <v>213</v>
      </c>
      <c r="K18" s="6" t="s">
        <v>64</v>
      </c>
      <c r="L18" s="6" t="s">
        <v>204</v>
      </c>
      <c r="M18" s="6" t="s">
        <v>173</v>
      </c>
      <c r="N18" s="7" t="s">
        <v>214</v>
      </c>
      <c r="O18" s="6" t="s">
        <v>175</v>
      </c>
    </row>
    <row r="19" customFormat="false" ht="23.25" hidden="false" customHeight="true" outlineLevel="0" collapsed="false">
      <c r="A19" s="8" t="s">
        <v>215</v>
      </c>
      <c r="B19" s="8" t="s">
        <v>163</v>
      </c>
      <c r="C19" s="8" t="s">
        <v>216</v>
      </c>
      <c r="D19" s="8" t="s">
        <v>217</v>
      </c>
      <c r="E19" s="8" t="s">
        <v>218</v>
      </c>
      <c r="F19" s="8" t="s">
        <v>219</v>
      </c>
      <c r="G19" s="8" t="s">
        <v>220</v>
      </c>
      <c r="H19" s="8" t="s">
        <v>221</v>
      </c>
      <c r="I19" s="8" t="s">
        <v>222</v>
      </c>
      <c r="J19" s="8" t="s">
        <v>223</v>
      </c>
      <c r="K19" s="8" t="s">
        <v>52</v>
      </c>
      <c r="L19" s="8" t="s">
        <v>224</v>
      </c>
      <c r="M19" s="8" t="s">
        <v>173</v>
      </c>
      <c r="N19" s="7"/>
      <c r="O19" s="8" t="s">
        <v>55</v>
      </c>
    </row>
    <row r="20" customFormat="false" ht="23.25" hidden="false" customHeight="true" outlineLevel="0" collapsed="false">
      <c r="A20" s="6" t="s">
        <v>225</v>
      </c>
      <c r="B20" s="6" t="s">
        <v>163</v>
      </c>
      <c r="C20" s="6" t="s">
        <v>226</v>
      </c>
      <c r="D20" s="6" t="s">
        <v>227</v>
      </c>
      <c r="E20" s="6" t="s">
        <v>228</v>
      </c>
      <c r="F20" s="6" t="s">
        <v>229</v>
      </c>
      <c r="G20" s="6" t="s">
        <v>230</v>
      </c>
      <c r="H20" s="6" t="s">
        <v>231</v>
      </c>
      <c r="I20" s="6" t="s">
        <v>232</v>
      </c>
      <c r="J20" s="6" t="s">
        <v>233</v>
      </c>
      <c r="K20" s="6" t="s">
        <v>64</v>
      </c>
      <c r="L20" s="6" t="s">
        <v>234</v>
      </c>
      <c r="M20" s="6" t="s">
        <v>173</v>
      </c>
      <c r="N20" s="7"/>
      <c r="O20" s="6" t="s">
        <v>55</v>
      </c>
    </row>
    <row r="21" customFormat="false" ht="34.5" hidden="false" customHeight="true" outlineLevel="0" collapsed="false">
      <c r="A21" s="8" t="s">
        <v>235</v>
      </c>
      <c r="B21" s="8" t="s">
        <v>163</v>
      </c>
      <c r="C21" s="8" t="s">
        <v>226</v>
      </c>
      <c r="D21" s="8" t="s">
        <v>236</v>
      </c>
      <c r="E21" s="8" t="s">
        <v>237</v>
      </c>
      <c r="F21" s="8" t="s">
        <v>238</v>
      </c>
      <c r="G21" s="8" t="s">
        <v>239</v>
      </c>
      <c r="H21" s="8" t="s">
        <v>240</v>
      </c>
      <c r="I21" s="8" t="s">
        <v>241</v>
      </c>
      <c r="J21" s="8" t="s">
        <v>242</v>
      </c>
      <c r="K21" s="8" t="s">
        <v>74</v>
      </c>
      <c r="L21" s="8" t="s">
        <v>243</v>
      </c>
      <c r="M21" s="8" t="s">
        <v>173</v>
      </c>
      <c r="N21" s="7"/>
      <c r="O21" s="8" t="s">
        <v>55</v>
      </c>
    </row>
    <row r="22" customFormat="false" ht="23.25" hidden="false" customHeight="true" outlineLevel="0" collapsed="false">
      <c r="A22" s="6" t="s">
        <v>244</v>
      </c>
      <c r="B22" s="6" t="s">
        <v>245</v>
      </c>
      <c r="C22" s="6" t="s">
        <v>246</v>
      </c>
      <c r="D22" s="6" t="s">
        <v>247</v>
      </c>
      <c r="E22" s="6" t="s">
        <v>248</v>
      </c>
      <c r="F22" s="6" t="s">
        <v>249</v>
      </c>
      <c r="G22" s="6" t="s">
        <v>250</v>
      </c>
      <c r="H22" s="6" t="s">
        <v>251</v>
      </c>
      <c r="I22" s="6" t="s">
        <v>252</v>
      </c>
      <c r="J22" s="6" t="s">
        <v>253</v>
      </c>
      <c r="K22" s="6" t="s">
        <v>52</v>
      </c>
      <c r="L22" s="6" t="s">
        <v>254</v>
      </c>
      <c r="M22" s="6" t="s">
        <v>255</v>
      </c>
      <c r="N22" s="7"/>
      <c r="O22" s="6" t="s">
        <v>55</v>
      </c>
    </row>
    <row r="23" customFormat="false" ht="23.25" hidden="false" customHeight="true" outlineLevel="0" collapsed="false">
      <c r="A23" s="8" t="s">
        <v>256</v>
      </c>
      <c r="B23" s="8" t="s">
        <v>245</v>
      </c>
      <c r="C23" s="8" t="s">
        <v>246</v>
      </c>
      <c r="D23" s="8" t="s">
        <v>257</v>
      </c>
      <c r="E23" s="8" t="s">
        <v>258</v>
      </c>
      <c r="F23" s="8" t="s">
        <v>259</v>
      </c>
      <c r="G23" s="8" t="s">
        <v>260</v>
      </c>
      <c r="H23" s="8" t="s">
        <v>261</v>
      </c>
      <c r="I23" s="8" t="s">
        <v>262</v>
      </c>
      <c r="J23" s="8" t="s">
        <v>253</v>
      </c>
      <c r="K23" s="8" t="s">
        <v>52</v>
      </c>
      <c r="L23" s="8" t="s">
        <v>254</v>
      </c>
      <c r="M23" s="8" t="s">
        <v>255</v>
      </c>
      <c r="N23" s="7"/>
      <c r="O23" s="8" t="s">
        <v>55</v>
      </c>
    </row>
    <row r="24" customFormat="false" ht="23.25" hidden="false" customHeight="true" outlineLevel="0" collapsed="false">
      <c r="A24" s="6" t="s">
        <v>263</v>
      </c>
      <c r="B24" s="6" t="s">
        <v>245</v>
      </c>
      <c r="C24" s="6" t="s">
        <v>264</v>
      </c>
      <c r="D24" s="6" t="s">
        <v>265</v>
      </c>
      <c r="E24" s="6" t="s">
        <v>266</v>
      </c>
      <c r="F24" s="6" t="s">
        <v>267</v>
      </c>
      <c r="G24" s="6" t="s">
        <v>268</v>
      </c>
      <c r="H24" s="6" t="s">
        <v>269</v>
      </c>
      <c r="I24" s="6" t="s">
        <v>270</v>
      </c>
      <c r="J24" s="6" t="s">
        <v>271</v>
      </c>
      <c r="K24" s="6" t="s">
        <v>64</v>
      </c>
      <c r="L24" s="6" t="s">
        <v>272</v>
      </c>
      <c r="M24" s="6" t="s">
        <v>255</v>
      </c>
      <c r="N24" s="7" t="s">
        <v>273</v>
      </c>
      <c r="O24" s="6" t="s">
        <v>274</v>
      </c>
    </row>
    <row r="25" customFormat="false" ht="23.25" hidden="false" customHeight="true" outlineLevel="0" collapsed="false">
      <c r="A25" s="8" t="s">
        <v>275</v>
      </c>
      <c r="B25" s="8" t="s">
        <v>245</v>
      </c>
      <c r="C25" s="8" t="s">
        <v>264</v>
      </c>
      <c r="D25" s="8" t="s">
        <v>276</v>
      </c>
      <c r="E25" s="8" t="s">
        <v>277</v>
      </c>
      <c r="F25" s="8" t="s">
        <v>278</v>
      </c>
      <c r="G25" s="8" t="s">
        <v>279</v>
      </c>
      <c r="H25" s="8" t="s">
        <v>280</v>
      </c>
      <c r="I25" s="8" t="s">
        <v>281</v>
      </c>
      <c r="J25" s="8" t="s">
        <v>282</v>
      </c>
      <c r="K25" s="8" t="s">
        <v>64</v>
      </c>
      <c r="L25" s="8" t="s">
        <v>283</v>
      </c>
      <c r="M25" s="8" t="s">
        <v>255</v>
      </c>
      <c r="N25" s="7" t="s">
        <v>273</v>
      </c>
      <c r="O25" s="8" t="s">
        <v>274</v>
      </c>
    </row>
    <row r="26" customFormat="false" ht="34.5" hidden="false" customHeight="true" outlineLevel="0" collapsed="false">
      <c r="A26" s="6" t="s">
        <v>284</v>
      </c>
      <c r="B26" s="6" t="s">
        <v>285</v>
      </c>
      <c r="C26" s="6" t="s">
        <v>286</v>
      </c>
      <c r="D26" s="6" t="s">
        <v>287</v>
      </c>
      <c r="E26" s="6" t="s">
        <v>288</v>
      </c>
      <c r="F26" s="6" t="s">
        <v>289</v>
      </c>
      <c r="G26" s="6" t="s">
        <v>290</v>
      </c>
      <c r="H26" s="6" t="s">
        <v>291</v>
      </c>
      <c r="I26" s="6" t="s">
        <v>292</v>
      </c>
      <c r="J26" s="6" t="s">
        <v>293</v>
      </c>
      <c r="K26" s="6" t="s">
        <v>64</v>
      </c>
      <c r="L26" s="6" t="s">
        <v>294</v>
      </c>
      <c r="M26" s="6" t="s">
        <v>285</v>
      </c>
      <c r="N26" s="7" t="s">
        <v>295</v>
      </c>
      <c r="O26" s="6" t="s">
        <v>274</v>
      </c>
    </row>
    <row r="27" customFormat="false" ht="23.25" hidden="false" customHeight="true" outlineLevel="0" collapsed="false">
      <c r="A27" s="8" t="s">
        <v>296</v>
      </c>
      <c r="B27" s="8" t="s">
        <v>285</v>
      </c>
      <c r="C27" s="8" t="s">
        <v>286</v>
      </c>
      <c r="D27" s="8" t="s">
        <v>297</v>
      </c>
      <c r="E27" s="8" t="s">
        <v>298</v>
      </c>
      <c r="F27" s="8" t="s">
        <v>299</v>
      </c>
      <c r="G27" s="8" t="s">
        <v>300</v>
      </c>
      <c r="H27" s="8" t="s">
        <v>301</v>
      </c>
      <c r="I27" s="8" t="s">
        <v>302</v>
      </c>
      <c r="J27" s="8" t="s">
        <v>303</v>
      </c>
      <c r="K27" s="8" t="s">
        <v>64</v>
      </c>
      <c r="L27" s="8" t="s">
        <v>304</v>
      </c>
      <c r="M27" s="8" t="s">
        <v>285</v>
      </c>
      <c r="N27" s="7" t="s">
        <v>295</v>
      </c>
      <c r="O27" s="8" t="s">
        <v>274</v>
      </c>
    </row>
    <row r="28" customFormat="false" ht="23.25" hidden="false" customHeight="true" outlineLevel="0" collapsed="false">
      <c r="A28" s="6" t="s">
        <v>305</v>
      </c>
      <c r="B28" s="6" t="s">
        <v>306</v>
      </c>
      <c r="C28" s="6" t="s">
        <v>307</v>
      </c>
      <c r="D28" s="6" t="s">
        <v>308</v>
      </c>
      <c r="E28" s="6" t="s">
        <v>309</v>
      </c>
      <c r="F28" s="6" t="s">
        <v>310</v>
      </c>
      <c r="G28" s="6" t="s">
        <v>311</v>
      </c>
      <c r="H28" s="6" t="s">
        <v>312</v>
      </c>
      <c r="I28" s="6" t="s">
        <v>313</v>
      </c>
      <c r="J28" s="6" t="s">
        <v>314</v>
      </c>
      <c r="K28" s="6" t="s">
        <v>64</v>
      </c>
      <c r="L28" s="6" t="s">
        <v>315</v>
      </c>
      <c r="M28" s="6" t="s">
        <v>316</v>
      </c>
      <c r="N28" s="7"/>
      <c r="O28" s="6" t="s">
        <v>55</v>
      </c>
    </row>
    <row r="29" customFormat="false" ht="34.5" hidden="false" customHeight="true" outlineLevel="0" collapsed="false">
      <c r="A29" s="8" t="s">
        <v>317</v>
      </c>
      <c r="B29" s="8" t="s">
        <v>306</v>
      </c>
      <c r="C29" s="8" t="s">
        <v>307</v>
      </c>
      <c r="D29" s="8" t="s">
        <v>318</v>
      </c>
      <c r="E29" s="8" t="s">
        <v>319</v>
      </c>
      <c r="F29" s="8" t="s">
        <v>320</v>
      </c>
      <c r="G29" s="8" t="s">
        <v>321</v>
      </c>
      <c r="H29" s="8" t="s">
        <v>322</v>
      </c>
      <c r="I29" s="8" t="s">
        <v>323</v>
      </c>
      <c r="J29" s="8" t="s">
        <v>324</v>
      </c>
      <c r="K29" s="8" t="s">
        <v>52</v>
      </c>
      <c r="L29" s="8" t="s">
        <v>325</v>
      </c>
      <c r="M29" s="8" t="s">
        <v>316</v>
      </c>
      <c r="N29" s="7"/>
      <c r="O29" s="8" t="s">
        <v>55</v>
      </c>
    </row>
    <row r="30" customFormat="false" ht="23.25" hidden="false" customHeight="true" outlineLevel="0" collapsed="false">
      <c r="A30" s="6" t="s">
        <v>326</v>
      </c>
      <c r="B30" s="6" t="s">
        <v>306</v>
      </c>
      <c r="C30" s="6" t="s">
        <v>327</v>
      </c>
      <c r="D30" s="6" t="s">
        <v>328</v>
      </c>
      <c r="E30" s="6" t="s">
        <v>329</v>
      </c>
      <c r="F30" s="6" t="s">
        <v>330</v>
      </c>
      <c r="G30" s="6" t="s">
        <v>331</v>
      </c>
      <c r="H30" s="6" t="s">
        <v>332</v>
      </c>
      <c r="I30" s="6" t="s">
        <v>333</v>
      </c>
      <c r="J30" s="6" t="s">
        <v>334</v>
      </c>
      <c r="K30" s="6" t="s">
        <v>74</v>
      </c>
      <c r="L30" s="6" t="s">
        <v>335</v>
      </c>
      <c r="M30" s="6" t="s">
        <v>316</v>
      </c>
      <c r="N30" s="7"/>
      <c r="O30" s="6" t="s">
        <v>55</v>
      </c>
    </row>
    <row r="31" customFormat="false" ht="23.25" hidden="false" customHeight="true" outlineLevel="0" collapsed="false">
      <c r="A31" s="8" t="s">
        <v>336</v>
      </c>
      <c r="B31" s="8" t="s">
        <v>306</v>
      </c>
      <c r="C31" s="8" t="s">
        <v>337</v>
      </c>
      <c r="D31" s="8" t="s">
        <v>338</v>
      </c>
      <c r="E31" s="8" t="s">
        <v>339</v>
      </c>
      <c r="F31" s="8" t="s">
        <v>340</v>
      </c>
      <c r="G31" s="8" t="s">
        <v>341</v>
      </c>
      <c r="H31" s="8" t="s">
        <v>342</v>
      </c>
      <c r="I31" s="8" t="s">
        <v>343</v>
      </c>
      <c r="J31" s="8" t="s">
        <v>344</v>
      </c>
      <c r="K31" s="8" t="s">
        <v>74</v>
      </c>
      <c r="L31" s="8" t="s">
        <v>345</v>
      </c>
      <c r="M31" s="8" t="s">
        <v>316</v>
      </c>
      <c r="N31" s="7"/>
      <c r="O31" s="8" t="s">
        <v>55</v>
      </c>
    </row>
    <row r="32" customFormat="false" ht="23.25" hidden="false" customHeight="true" outlineLevel="0" collapsed="false">
      <c r="A32" s="6" t="s">
        <v>346</v>
      </c>
      <c r="B32" s="6" t="s">
        <v>306</v>
      </c>
      <c r="C32" s="6" t="s">
        <v>347</v>
      </c>
      <c r="D32" s="6" t="s">
        <v>348</v>
      </c>
      <c r="E32" s="6" t="s">
        <v>349</v>
      </c>
      <c r="F32" s="6" t="s">
        <v>350</v>
      </c>
      <c r="G32" s="6" t="s">
        <v>351</v>
      </c>
      <c r="H32" s="6" t="s">
        <v>352</v>
      </c>
      <c r="I32" s="6" t="s">
        <v>353</v>
      </c>
      <c r="J32" s="6" t="s">
        <v>354</v>
      </c>
      <c r="K32" s="6" t="s">
        <v>74</v>
      </c>
      <c r="L32" s="6" t="s">
        <v>254</v>
      </c>
      <c r="M32" s="6" t="s">
        <v>316</v>
      </c>
      <c r="N32" s="7"/>
      <c r="O32" s="6" t="s">
        <v>55</v>
      </c>
    </row>
    <row r="33" customFormat="false" ht="23.25" hidden="false" customHeight="true" outlineLevel="0" collapsed="false">
      <c r="A33" s="8" t="s">
        <v>355</v>
      </c>
      <c r="B33" s="8" t="s">
        <v>356</v>
      </c>
      <c r="C33" s="8" t="s">
        <v>357</v>
      </c>
      <c r="D33" s="8" t="s">
        <v>358</v>
      </c>
      <c r="E33" s="8" t="s">
        <v>359</v>
      </c>
      <c r="F33" s="8" t="s">
        <v>360</v>
      </c>
      <c r="G33" s="8" t="s">
        <v>361</v>
      </c>
      <c r="H33" s="8" t="s">
        <v>362</v>
      </c>
      <c r="I33" s="8" t="s">
        <v>363</v>
      </c>
      <c r="J33" s="8" t="s">
        <v>364</v>
      </c>
      <c r="K33" s="8" t="s">
        <v>64</v>
      </c>
      <c r="L33" s="8" t="s">
        <v>365</v>
      </c>
      <c r="M33" s="8" t="s">
        <v>366</v>
      </c>
      <c r="N33" s="7"/>
      <c r="O33" s="8" t="s">
        <v>55</v>
      </c>
    </row>
    <row r="34" customFormat="false" ht="23.25" hidden="false" customHeight="true" outlineLevel="0" collapsed="false">
      <c r="A34" s="6" t="s">
        <v>367</v>
      </c>
      <c r="B34" s="6" t="s">
        <v>356</v>
      </c>
      <c r="C34" s="6" t="s">
        <v>368</v>
      </c>
      <c r="D34" s="6" t="s">
        <v>369</v>
      </c>
      <c r="E34" s="6" t="s">
        <v>370</v>
      </c>
      <c r="F34" s="6" t="s">
        <v>371</v>
      </c>
      <c r="G34" s="6" t="s">
        <v>372</v>
      </c>
      <c r="H34" s="6" t="s">
        <v>373</v>
      </c>
      <c r="I34" s="6" t="s">
        <v>374</v>
      </c>
      <c r="J34" s="6" t="s">
        <v>282</v>
      </c>
      <c r="K34" s="6" t="s">
        <v>64</v>
      </c>
      <c r="L34" s="6" t="s">
        <v>283</v>
      </c>
      <c r="M34" s="6" t="s">
        <v>366</v>
      </c>
      <c r="N34" s="7"/>
      <c r="O34" s="6" t="s">
        <v>55</v>
      </c>
    </row>
    <row r="35" customFormat="false" ht="63.75" hidden="false" customHeight="true" outlineLevel="0" collapsed="false">
      <c r="A35" s="6" t="s">
        <v>375</v>
      </c>
      <c r="B35" s="6" t="s">
        <v>163</v>
      </c>
      <c r="C35" s="6" t="s">
        <v>376</v>
      </c>
      <c r="D35" s="6" t="s">
        <v>377</v>
      </c>
      <c r="E35" s="6" t="s">
        <v>378</v>
      </c>
      <c r="F35" s="6" t="s">
        <v>379</v>
      </c>
      <c r="G35" s="6" t="s">
        <v>380</v>
      </c>
      <c r="H35" s="6" t="s">
        <v>381</v>
      </c>
      <c r="I35" s="6" t="s">
        <v>382</v>
      </c>
      <c r="J35" s="6" t="s">
        <v>383</v>
      </c>
      <c r="K35" s="6" t="s">
        <v>64</v>
      </c>
      <c r="L35" s="6" t="s">
        <v>384</v>
      </c>
      <c r="M35" s="6" t="s">
        <v>173</v>
      </c>
      <c r="N35" s="7" t="s">
        <v>385</v>
      </c>
      <c r="O35" s="6" t="s">
        <v>386</v>
      </c>
    </row>
    <row r="36" customFormat="false" ht="63.75" hidden="false" customHeight="true" outlineLevel="0" collapsed="false">
      <c r="A36" s="6" t="s">
        <v>387</v>
      </c>
      <c r="B36" s="6" t="s">
        <v>163</v>
      </c>
      <c r="C36" s="6" t="s">
        <v>388</v>
      </c>
      <c r="D36" s="6" t="s">
        <v>389</v>
      </c>
      <c r="E36" s="6" t="s">
        <v>390</v>
      </c>
      <c r="F36" s="6" t="s">
        <v>391</v>
      </c>
      <c r="G36" s="6" t="s">
        <v>392</v>
      </c>
      <c r="H36" s="6" t="s">
        <v>393</v>
      </c>
      <c r="I36" s="6" t="s">
        <v>394</v>
      </c>
      <c r="J36" s="6" t="s">
        <v>395</v>
      </c>
      <c r="K36" s="6" t="s">
        <v>64</v>
      </c>
      <c r="L36" s="6" t="s">
        <v>396</v>
      </c>
      <c r="M36" s="6" t="s">
        <v>173</v>
      </c>
      <c r="N36" s="7" t="s">
        <v>397</v>
      </c>
      <c r="O36" s="6" t="s">
        <v>398</v>
      </c>
    </row>
    <row r="37" customFormat="false" ht="63.75" hidden="false" customHeight="true" outlineLevel="0" collapsed="false">
      <c r="A37" s="6" t="s">
        <v>399</v>
      </c>
      <c r="B37" s="6" t="s">
        <v>163</v>
      </c>
      <c r="C37" s="6" t="s">
        <v>400</v>
      </c>
      <c r="D37" s="6" t="s">
        <v>401</v>
      </c>
      <c r="E37" s="6" t="s">
        <v>402</v>
      </c>
      <c r="F37" s="6" t="s">
        <v>403</v>
      </c>
      <c r="G37" s="6" t="s">
        <v>404</v>
      </c>
      <c r="H37" s="6" t="s">
        <v>405</v>
      </c>
      <c r="I37" s="6" t="s">
        <v>406</v>
      </c>
      <c r="J37" s="6" t="s">
        <v>407</v>
      </c>
      <c r="K37" s="6" t="s">
        <v>64</v>
      </c>
      <c r="L37" s="6" t="s">
        <v>408</v>
      </c>
      <c r="M37" s="6" t="s">
        <v>173</v>
      </c>
      <c r="N37" s="7" t="s">
        <v>409</v>
      </c>
      <c r="O37" s="6" t="s">
        <v>410</v>
      </c>
    </row>
    <row r="38" customFormat="false" ht="63.75" hidden="false" customHeight="true" outlineLevel="0" collapsed="false">
      <c r="A38" s="6" t="s">
        <v>411</v>
      </c>
      <c r="B38" s="6" t="s">
        <v>163</v>
      </c>
      <c r="C38" s="6" t="s">
        <v>185</v>
      </c>
      <c r="D38" s="6" t="s">
        <v>412</v>
      </c>
      <c r="E38" s="6" t="s">
        <v>413</v>
      </c>
      <c r="F38" s="6" t="s">
        <v>414</v>
      </c>
      <c r="G38" s="6" t="s">
        <v>189</v>
      </c>
      <c r="H38" s="6" t="s">
        <v>415</v>
      </c>
      <c r="I38" s="6" t="s">
        <v>416</v>
      </c>
      <c r="J38" s="6" t="s">
        <v>417</v>
      </c>
      <c r="K38" s="6" t="s">
        <v>52</v>
      </c>
      <c r="L38" s="6" t="s">
        <v>418</v>
      </c>
      <c r="M38" s="6" t="s">
        <v>173</v>
      </c>
      <c r="N38" s="7" t="s">
        <v>419</v>
      </c>
      <c r="O38" s="6" t="s">
        <v>398</v>
      </c>
    </row>
    <row r="39" customFormat="false" ht="63.75" hidden="false" customHeight="true" outlineLevel="0" collapsed="false">
      <c r="A39" s="6" t="s">
        <v>420</v>
      </c>
      <c r="B39" s="6" t="s">
        <v>43</v>
      </c>
      <c r="C39" s="6" t="s">
        <v>96</v>
      </c>
      <c r="D39" s="6" t="s">
        <v>421</v>
      </c>
      <c r="E39" s="6" t="s">
        <v>422</v>
      </c>
      <c r="F39" s="6" t="s">
        <v>423</v>
      </c>
      <c r="G39" s="6" t="s">
        <v>424</v>
      </c>
      <c r="H39" s="6" t="s">
        <v>425</v>
      </c>
      <c r="I39" s="6" t="s">
        <v>426</v>
      </c>
      <c r="J39" s="6" t="s">
        <v>427</v>
      </c>
      <c r="K39" s="6" t="s">
        <v>52</v>
      </c>
      <c r="L39" s="6" t="s">
        <v>428</v>
      </c>
      <c r="M39" s="6" t="s">
        <v>54</v>
      </c>
      <c r="N39" s="7" t="s">
        <v>105</v>
      </c>
      <c r="O39" s="6" t="s">
        <v>429</v>
      </c>
    </row>
    <row r="40" customFormat="false" ht="63.75" hidden="false" customHeight="true" outlineLevel="0" collapsed="false">
      <c r="A40" s="6" t="s">
        <v>430</v>
      </c>
      <c r="B40" s="6" t="s">
        <v>285</v>
      </c>
      <c r="C40" s="6" t="s">
        <v>431</v>
      </c>
      <c r="D40" s="6" t="s">
        <v>432</v>
      </c>
      <c r="E40" s="6" t="s">
        <v>433</v>
      </c>
      <c r="F40" s="6" t="s">
        <v>434</v>
      </c>
      <c r="G40" s="6" t="s">
        <v>435</v>
      </c>
      <c r="H40" s="6" t="s">
        <v>436</v>
      </c>
      <c r="I40" s="6" t="s">
        <v>437</v>
      </c>
      <c r="J40" s="6" t="s">
        <v>438</v>
      </c>
      <c r="K40" s="6" t="s">
        <v>74</v>
      </c>
      <c r="L40" s="6" t="s">
        <v>439</v>
      </c>
      <c r="M40" s="6" t="s">
        <v>285</v>
      </c>
      <c r="N40" s="7" t="s">
        <v>440</v>
      </c>
      <c r="O40" s="6" t="s">
        <v>398</v>
      </c>
    </row>
    <row r="41" customFormat="false" ht="63.75" hidden="false" customHeight="true" outlineLevel="0" collapsed="false">
      <c r="A41" s="6" t="s">
        <v>441</v>
      </c>
      <c r="B41" s="6" t="s">
        <v>442</v>
      </c>
      <c r="C41" s="6" t="s">
        <v>443</v>
      </c>
      <c r="D41" s="6" t="s">
        <v>444</v>
      </c>
      <c r="E41" s="6" t="s">
        <v>445</v>
      </c>
      <c r="F41" s="6" t="s">
        <v>446</v>
      </c>
      <c r="G41" s="6" t="s">
        <v>447</v>
      </c>
      <c r="H41" s="6" t="s">
        <v>448</v>
      </c>
      <c r="I41" s="6" t="s">
        <v>449</v>
      </c>
      <c r="J41" s="6" t="s">
        <v>450</v>
      </c>
      <c r="K41" s="6" t="s">
        <v>64</v>
      </c>
      <c r="L41" s="6" t="s">
        <v>451</v>
      </c>
      <c r="M41" s="6" t="s">
        <v>452</v>
      </c>
      <c r="N41" s="7" t="s">
        <v>273</v>
      </c>
      <c r="O41" s="6" t="s">
        <v>398</v>
      </c>
    </row>
    <row r="42" customFormat="false" ht="63.75" hidden="false" customHeight="true" outlineLevel="0" collapsed="false">
      <c r="A42" s="6" t="s">
        <v>453</v>
      </c>
      <c r="B42" s="6" t="s">
        <v>442</v>
      </c>
      <c r="C42" s="6" t="s">
        <v>454</v>
      </c>
      <c r="D42" s="6" t="s">
        <v>455</v>
      </c>
      <c r="E42" s="6" t="s">
        <v>456</v>
      </c>
      <c r="F42" s="6" t="s">
        <v>457</v>
      </c>
      <c r="G42" s="6" t="s">
        <v>458</v>
      </c>
      <c r="H42" s="6" t="s">
        <v>459</v>
      </c>
      <c r="I42" s="6" t="s">
        <v>460</v>
      </c>
      <c r="J42" s="6" t="s">
        <v>461</v>
      </c>
      <c r="K42" s="6" t="s">
        <v>74</v>
      </c>
      <c r="L42" s="6" t="s">
        <v>462</v>
      </c>
      <c r="M42" s="6" t="s">
        <v>452</v>
      </c>
      <c r="N42" s="7" t="s">
        <v>463</v>
      </c>
      <c r="O42" s="6" t="s">
        <v>464</v>
      </c>
    </row>
    <row r="43" customFormat="false" ht="63.75" hidden="false" customHeight="true" outlineLevel="0" collapsed="false">
      <c r="A43" s="6" t="s">
        <v>465</v>
      </c>
      <c r="B43" s="6" t="s">
        <v>163</v>
      </c>
      <c r="C43" s="6" t="s">
        <v>376</v>
      </c>
      <c r="D43" s="6" t="s">
        <v>466</v>
      </c>
      <c r="E43" s="6" t="s">
        <v>467</v>
      </c>
      <c r="F43" s="6" t="s">
        <v>468</v>
      </c>
      <c r="G43" s="6" t="s">
        <v>469</v>
      </c>
      <c r="H43" s="6" t="s">
        <v>470</v>
      </c>
      <c r="I43" s="6" t="s">
        <v>471</v>
      </c>
      <c r="J43" s="6" t="s">
        <v>472</v>
      </c>
      <c r="K43" s="6" t="s">
        <v>64</v>
      </c>
      <c r="L43" s="6" t="s">
        <v>473</v>
      </c>
      <c r="M43" s="6" t="s">
        <v>173</v>
      </c>
      <c r="N43" s="7" t="s">
        <v>474</v>
      </c>
      <c r="O43" s="6" t="s">
        <v>475</v>
      </c>
    </row>
  </sheetData>
  <autoFilter ref="A1:O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4"/>
  </cols>
  <sheetData>
    <row r="1" customFormat="false" ht="15" hidden="false" customHeight="true" outlineLevel="0" collapsed="false">
      <c r="A1" s="9" t="s">
        <v>476</v>
      </c>
    </row>
    <row r="3" customFormat="false" ht="15" hidden="false" customHeight="true" outlineLevel="0" collapsed="false">
      <c r="A3" s="5" t="s">
        <v>28</v>
      </c>
      <c r="B3" s="5" t="s">
        <v>52</v>
      </c>
      <c r="C3" s="5" t="s">
        <v>64</v>
      </c>
      <c r="D3" s="5" t="s">
        <v>74</v>
      </c>
      <c r="E3" s="5" t="s">
        <v>477</v>
      </c>
    </row>
    <row r="4" customFormat="false" ht="15" hidden="false" customHeight="true" outlineLevel="0" collapsed="false">
      <c r="A4" s="10" t="s">
        <v>43</v>
      </c>
      <c r="B4" s="10" t="n">
        <f aca="false">COUNTIFS(Misconceptions!$B$2:$B$43,$A4,Misconceptions!$K$2:$K$43,B$3)</f>
        <v>4</v>
      </c>
      <c r="C4" s="10" t="n">
        <f aca="false">COUNTIFS(Misconceptions!$B$2:$B$43,$A4,Misconceptions!$K$2:$K$43,C$3)</f>
        <v>7</v>
      </c>
      <c r="D4" s="10" t="n">
        <f aca="false">COUNTIFS(Misconceptions!$B$2:$B$43,$A4,Misconceptions!$K$2:$K$43,D$3)</f>
        <v>2</v>
      </c>
      <c r="E4" s="10" t="n">
        <f aca="false">SUM(B4:D4)</f>
        <v>13</v>
      </c>
    </row>
    <row r="5" customFormat="false" ht="15" hidden="false" customHeight="true" outlineLevel="0" collapsed="false">
      <c r="A5" s="10" t="s">
        <v>163</v>
      </c>
      <c r="B5" s="10" t="n">
        <f aca="false">COUNTIFS(Misconceptions!$B$2:$B$43,$A5,Misconceptions!$K$2:$K$43,B$3)</f>
        <v>6</v>
      </c>
      <c r="C5" s="10" t="n">
        <f aca="false">COUNTIFS(Misconceptions!$B$2:$B$43,$A5,Misconceptions!$K$2:$K$43,C$3)</f>
        <v>6</v>
      </c>
      <c r="D5" s="10" t="n">
        <f aca="false">COUNTIFS(Misconceptions!$B$2:$B$43,$A5,Misconceptions!$K$2:$K$43,D$3)</f>
        <v>1</v>
      </c>
      <c r="E5" s="10" t="n">
        <f aca="false">SUM(B5:D5)</f>
        <v>13</v>
      </c>
    </row>
    <row r="6" customFormat="false" ht="15" hidden="false" customHeight="true" outlineLevel="0" collapsed="false">
      <c r="A6" s="10" t="s">
        <v>245</v>
      </c>
      <c r="B6" s="10" t="n">
        <f aca="false">COUNTIFS(Misconceptions!$B$2:$B$43,$A6,Misconceptions!$K$2:$K$43,B$3)</f>
        <v>2</v>
      </c>
      <c r="C6" s="10" t="n">
        <f aca="false">COUNTIFS(Misconceptions!$B$2:$B$43,$A6,Misconceptions!$K$2:$K$43,C$3)</f>
        <v>2</v>
      </c>
      <c r="D6" s="10" t="n">
        <f aca="false">COUNTIFS(Misconceptions!$B$2:$B$43,$A6,Misconceptions!$K$2:$K$43,D$3)</f>
        <v>0</v>
      </c>
      <c r="E6" s="10" t="n">
        <f aca="false">SUM(B6:D6)</f>
        <v>4</v>
      </c>
    </row>
    <row r="7" customFormat="false" ht="15" hidden="false" customHeight="true" outlineLevel="0" collapsed="false">
      <c r="A7" s="10" t="s">
        <v>285</v>
      </c>
      <c r="B7" s="10" t="n">
        <f aca="false">COUNTIFS(Misconceptions!$B$2:$B$43,$A7,Misconceptions!$K$2:$K$43,B$3)</f>
        <v>0</v>
      </c>
      <c r="C7" s="10" t="n">
        <f aca="false">COUNTIFS(Misconceptions!$B$2:$B$43,$A7,Misconceptions!$K$2:$K$43,C$3)</f>
        <v>2</v>
      </c>
      <c r="D7" s="10" t="n">
        <f aca="false">COUNTIFS(Misconceptions!$B$2:$B$43,$A7,Misconceptions!$K$2:$K$43,D$3)</f>
        <v>1</v>
      </c>
      <c r="E7" s="10" t="n">
        <f aca="false">SUM(B7:D7)</f>
        <v>3</v>
      </c>
    </row>
    <row r="8" customFormat="false" ht="15" hidden="false" customHeight="true" outlineLevel="0" collapsed="false">
      <c r="A8" s="10" t="s">
        <v>306</v>
      </c>
      <c r="B8" s="10" t="n">
        <f aca="false">COUNTIFS(Misconceptions!$B$2:$B$43,$A8,Misconceptions!$K$2:$K$43,B$3)</f>
        <v>1</v>
      </c>
      <c r="C8" s="10" t="n">
        <f aca="false">COUNTIFS(Misconceptions!$B$2:$B$43,$A8,Misconceptions!$K$2:$K$43,C$3)</f>
        <v>1</v>
      </c>
      <c r="D8" s="10" t="n">
        <f aca="false">COUNTIFS(Misconceptions!$B$2:$B$43,$A8,Misconceptions!$K$2:$K$43,D$3)</f>
        <v>3</v>
      </c>
      <c r="E8" s="10" t="n">
        <f aca="false">SUM(B8:D8)</f>
        <v>5</v>
      </c>
    </row>
    <row r="9" customFormat="false" ht="15" hidden="false" customHeight="true" outlineLevel="0" collapsed="false">
      <c r="A9" s="10" t="s">
        <v>356</v>
      </c>
      <c r="B9" s="10" t="n">
        <f aca="false">COUNTIFS(Misconceptions!$B$2:$B$43,$A9,Misconceptions!$K$2:$K$43,B$3)</f>
        <v>0</v>
      </c>
      <c r="C9" s="10" t="n">
        <f aca="false">COUNTIFS(Misconceptions!$B$2:$B$43,$A9,Misconceptions!$K$2:$K$43,C$3)</f>
        <v>2</v>
      </c>
      <c r="D9" s="10" t="n">
        <f aca="false">COUNTIFS(Misconceptions!$B$2:$B$43,$A9,Misconceptions!$K$2:$K$43,D$3)</f>
        <v>0</v>
      </c>
      <c r="E9" s="10" t="n">
        <f aca="false">SUM(B9:D9)</f>
        <v>2</v>
      </c>
    </row>
    <row r="10" customFormat="false" ht="15" hidden="false" customHeight="true" outlineLevel="0" collapsed="false">
      <c r="A10" s="10" t="s">
        <v>442</v>
      </c>
      <c r="B10" s="10" t="n">
        <f aca="false">COUNTIFS(Misconceptions!$B$2:$B$43,$A10,Misconceptions!$K$2:$K$43,B$3)</f>
        <v>0</v>
      </c>
      <c r="C10" s="10" t="n">
        <f aca="false">COUNTIFS(Misconceptions!$B$2:$B$43,$A10,Misconceptions!$K$2:$K$43,C$3)</f>
        <v>1</v>
      </c>
      <c r="D10" s="10" t="n">
        <f aca="false">COUNTIFS(Misconceptions!$B$2:$B$43,$A10,Misconceptions!$K$2:$K$43,D$3)</f>
        <v>1</v>
      </c>
      <c r="E10" s="10" t="n">
        <f aca="false">SUM(B10:D10)</f>
        <v>2</v>
      </c>
    </row>
    <row r="11" customFormat="false" ht="15" hidden="false" customHeight="true" outlineLevel="0" collapsed="false">
      <c r="A11" s="11" t="s">
        <v>477</v>
      </c>
      <c r="B11" s="11" t="n">
        <f aca="false">SUM(B4:B10)</f>
        <v>13</v>
      </c>
      <c r="C11" s="11" t="n">
        <f aca="false">SUM(C4:C10)</f>
        <v>21</v>
      </c>
      <c r="D11" s="11" t="n">
        <f aca="false">SUM(D4:D10)</f>
        <v>8</v>
      </c>
      <c r="E11" s="11" t="n">
        <f aca="false">SUM(E4:E10)</f>
        <v>42</v>
      </c>
    </row>
    <row r="12" customFormat="false" ht="15" hidden="false" customHeight="true" outlineLevel="0" collapsed="false"/>
    <row r="13" customFormat="false" ht="15" hidden="false" customHeight="true" outlineLevel="0" collapsed="false">
      <c r="A13" s="12" t="s">
        <v>478</v>
      </c>
      <c r="E13" s="12" t="n">
        <f aca="false">COUNTA(Misconceptions!$A$2:$A$43)</f>
        <v>42</v>
      </c>
    </row>
    <row r="14" customFormat="false" ht="15" hidden="false" customHeight="true" outlineLevel="0" collapsed="false">
      <c r="A14" s="12" t="s">
        <v>479</v>
      </c>
      <c r="E14" s="13" t="str">
        <f aca="false">IF(E11=E13,"OK","CHECK")</f>
        <v>OK</v>
      </c>
    </row>
    <row r="15" customFormat="false" ht="15" hidden="false" customHeight="true" outlineLevel="0" collapsed="false"/>
    <row r="16" customFormat="false" ht="15" hidden="false" customHeight="true" outlineLevel="0" collapsed="false">
      <c r="A16" s="14" t="s">
        <v>480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5"/>
    <col collapsed="false" customWidth="true" hidden="false" outlineLevel="0" max="3" min="3" style="1" width="30"/>
    <col collapsed="false" customWidth="true" hidden="false" outlineLevel="0" max="4" min="4" style="1" width="50"/>
    <col collapsed="false" customWidth="true" hidden="false" outlineLevel="0" max="5" min="5" style="1" width="22"/>
    <col collapsed="false" customWidth="true" hidden="false" outlineLevel="0" max="6" min="6" style="1" width="32"/>
    <col collapsed="false" customWidth="true" hidden="false" outlineLevel="0" max="8" min="7" style="1" width="22"/>
    <col collapsed="false" customWidth="true" hidden="false" outlineLevel="0" max="9" min="9" style="1" width="30"/>
    <col collapsed="false" customWidth="true" hidden="false" outlineLevel="0" max="10" min="10" style="1" width="12"/>
    <col collapsed="false" customWidth="true" hidden="false" outlineLevel="0" max="11" min="11" style="1" width="14"/>
    <col collapsed="false" customWidth="true" hidden="false" outlineLevel="0" max="12" min="12" style="1" width="36"/>
  </cols>
  <sheetData>
    <row r="1" customFormat="false" ht="23.25" hidden="false" customHeight="true" outlineLevel="0" collapsed="false">
      <c r="A1" s="5" t="s">
        <v>481</v>
      </c>
      <c r="B1" s="5" t="s">
        <v>482</v>
      </c>
      <c r="C1" s="5" t="s">
        <v>483</v>
      </c>
      <c r="D1" s="5" t="s">
        <v>484</v>
      </c>
      <c r="E1" s="5" t="s">
        <v>33</v>
      </c>
      <c r="F1" s="5" t="s">
        <v>485</v>
      </c>
      <c r="G1" s="5" t="s">
        <v>486</v>
      </c>
      <c r="H1" s="5" t="s">
        <v>487</v>
      </c>
      <c r="I1" s="5" t="s">
        <v>488</v>
      </c>
      <c r="J1" s="5" t="s">
        <v>489</v>
      </c>
      <c r="K1" s="5" t="s">
        <v>490</v>
      </c>
      <c r="L1" s="5" t="s">
        <v>491</v>
      </c>
    </row>
    <row r="2" customFormat="false" ht="23.25" hidden="false" customHeight="true" outlineLevel="0" collapsed="false">
      <c r="A2" s="7" t="s">
        <v>492</v>
      </c>
      <c r="B2" s="7" t="s">
        <v>95</v>
      </c>
      <c r="C2" s="6" t="str">
        <f aca="false">IFERROR(INDEX(Misconceptions!$D$2:$D$43,MATCH($B2,Misconceptions!$A$2:$A$43,0)),"")</f>
        <v>Operational reading of '='</v>
      </c>
      <c r="D2" s="7" t="s">
        <v>493</v>
      </c>
      <c r="E2" s="7" t="s">
        <v>100</v>
      </c>
      <c r="F2" s="7" t="s">
        <v>494</v>
      </c>
      <c r="G2" s="7" t="s">
        <v>495</v>
      </c>
      <c r="H2" s="7" t="s">
        <v>211</v>
      </c>
      <c r="I2" s="7" t="s">
        <v>496</v>
      </c>
      <c r="J2" s="7" t="s">
        <v>497</v>
      </c>
      <c r="K2" s="7" t="s">
        <v>498</v>
      </c>
      <c r="L2" s="7" t="s">
        <v>499</v>
      </c>
    </row>
    <row r="3" customFormat="false" ht="15" hidden="false" customHeight="true" outlineLevel="0" collapsed="false">
      <c r="A3" s="7"/>
      <c r="B3" s="7"/>
      <c r="C3" s="6" t="str">
        <f aca="false">IF($B3="","",IFERROR(INDEX(Misconceptions!$D$2:$D$43,MATCH($B3,Misconceptions!$A$2:$A$43,0)),"ID not found"))</f>
        <v/>
      </c>
      <c r="D3" s="7"/>
      <c r="E3" s="7"/>
      <c r="F3" s="7"/>
      <c r="G3" s="7"/>
      <c r="H3" s="7"/>
      <c r="I3" s="7"/>
      <c r="J3" s="7"/>
      <c r="K3" s="7"/>
      <c r="L3" s="7"/>
    </row>
    <row r="4" customFormat="false" ht="15" hidden="false" customHeight="true" outlineLevel="0" collapsed="false">
      <c r="A4" s="7"/>
      <c r="B4" s="7"/>
      <c r="C4" s="6" t="str">
        <f aca="false">IF($B4="","",IFERROR(INDEX(Misconceptions!$D$2:$D$43,MATCH($B4,Misconceptions!$A$2:$A$43,0)),"ID not found"))</f>
        <v/>
      </c>
      <c r="D4" s="7"/>
      <c r="E4" s="7"/>
      <c r="F4" s="7"/>
      <c r="G4" s="7"/>
      <c r="H4" s="7"/>
      <c r="I4" s="7"/>
      <c r="J4" s="7"/>
      <c r="K4" s="7"/>
      <c r="L4" s="7"/>
    </row>
    <row r="5" customFormat="false" ht="15" hidden="false" customHeight="true" outlineLevel="0" collapsed="false">
      <c r="A5" s="7"/>
      <c r="B5" s="7"/>
      <c r="C5" s="6" t="str">
        <f aca="false">IF($B5="","",IFERROR(INDEX(Misconceptions!$D$2:$D$43,MATCH($B5,Misconceptions!$A$2:$A$43,0)),"ID not found"))</f>
        <v/>
      </c>
      <c r="D5" s="7"/>
      <c r="E5" s="7"/>
      <c r="F5" s="7"/>
      <c r="G5" s="7"/>
      <c r="H5" s="7"/>
      <c r="I5" s="7"/>
      <c r="J5" s="7"/>
      <c r="K5" s="7"/>
      <c r="L5" s="7"/>
    </row>
    <row r="6" customFormat="false" ht="15" hidden="false" customHeight="true" outlineLevel="0" collapsed="false">
      <c r="A6" s="7"/>
      <c r="B6" s="7"/>
      <c r="C6" s="6" t="str">
        <f aca="false">IF($B6="","",IFERROR(INDEX(Misconceptions!$D$2:$D$43,MATCH($B6,Misconceptions!$A$2:$A$43,0)),"ID not found"))</f>
        <v/>
      </c>
      <c r="D6" s="7"/>
      <c r="E6" s="7"/>
      <c r="F6" s="7"/>
      <c r="G6" s="7"/>
      <c r="H6" s="7"/>
      <c r="I6" s="7"/>
      <c r="J6" s="7"/>
      <c r="K6" s="7"/>
      <c r="L6" s="7"/>
    </row>
    <row r="7" customFormat="false" ht="15" hidden="false" customHeight="true" outlineLevel="0" collapsed="false">
      <c r="A7" s="7"/>
      <c r="B7" s="7"/>
      <c r="C7" s="6" t="str">
        <f aca="false">IF($B7="","",IFERROR(INDEX(Misconceptions!$D$2:$D$43,MATCH($B7,Misconceptions!$A$2:$A$43,0)),"ID not found"))</f>
        <v/>
      </c>
      <c r="D7" s="7"/>
      <c r="E7" s="7"/>
      <c r="F7" s="7"/>
      <c r="G7" s="7"/>
      <c r="H7" s="7"/>
      <c r="I7" s="7"/>
      <c r="J7" s="7"/>
      <c r="K7" s="7"/>
      <c r="L7" s="7"/>
    </row>
    <row r="8" customFormat="false" ht="15" hidden="false" customHeight="true" outlineLevel="0" collapsed="false">
      <c r="A8" s="7"/>
      <c r="B8" s="7"/>
      <c r="C8" s="6" t="str">
        <f aca="false">IF($B8="","",IFERROR(INDEX(Misconceptions!$D$2:$D$43,MATCH($B8,Misconceptions!$A$2:$A$43,0)),"ID not found"))</f>
        <v/>
      </c>
      <c r="D8" s="7"/>
      <c r="E8" s="7"/>
      <c r="F8" s="7"/>
      <c r="G8" s="7"/>
      <c r="H8" s="7"/>
      <c r="I8" s="7"/>
      <c r="J8" s="7"/>
      <c r="K8" s="7"/>
      <c r="L8" s="7"/>
    </row>
    <row r="9" customFormat="false" ht="15" hidden="false" customHeight="true" outlineLevel="0" collapsed="false">
      <c r="A9" s="7"/>
      <c r="B9" s="7"/>
      <c r="C9" s="6" t="str">
        <f aca="false">IF($B9="","",IFERROR(INDEX(Misconceptions!$D$2:$D$43,MATCH($B9,Misconceptions!$A$2:$A$43,0)),"ID not found"))</f>
        <v/>
      </c>
      <c r="D9" s="7"/>
      <c r="E9" s="7"/>
      <c r="F9" s="7"/>
      <c r="G9" s="7"/>
      <c r="H9" s="7"/>
      <c r="I9" s="7"/>
      <c r="J9" s="7"/>
      <c r="K9" s="7"/>
      <c r="L9" s="7"/>
    </row>
    <row r="10" customFormat="false" ht="15" hidden="false" customHeight="true" outlineLevel="0" collapsed="false">
      <c r="A10" s="7"/>
      <c r="B10" s="7"/>
      <c r="C10" s="6" t="str">
        <f aca="false">IF($B10="","",IFERROR(INDEX(Misconceptions!$D$2:$D$43,MATCH($B10,Misconceptions!$A$2:$A$43,0)),"ID not found"))</f>
        <v/>
      </c>
      <c r="D10" s="7"/>
      <c r="E10" s="7"/>
      <c r="F10" s="7"/>
      <c r="G10" s="7"/>
      <c r="H10" s="7"/>
      <c r="I10" s="7"/>
      <c r="J10" s="7"/>
      <c r="K10" s="7"/>
      <c r="L10" s="7"/>
    </row>
    <row r="11" customFormat="false" ht="15" hidden="false" customHeight="true" outlineLevel="0" collapsed="false">
      <c r="A11" s="7"/>
      <c r="B11" s="7"/>
      <c r="C11" s="6" t="str">
        <f aca="false">IF($B11="","",IFERROR(INDEX(Misconceptions!$D$2:$D$43,MATCH($B11,Misconceptions!$A$2:$A$43,0)),"ID not found"))</f>
        <v/>
      </c>
      <c r="D11" s="7"/>
      <c r="E11" s="7"/>
      <c r="F11" s="7"/>
      <c r="G11" s="7"/>
      <c r="H11" s="7"/>
      <c r="I11" s="7"/>
      <c r="J11" s="7"/>
      <c r="K11" s="7"/>
      <c r="L11" s="7"/>
    </row>
    <row r="12" customFormat="false" ht="15" hidden="false" customHeight="true" outlineLevel="0" collapsed="false">
      <c r="A12" s="7"/>
      <c r="B12" s="7"/>
      <c r="C12" s="6" t="str">
        <f aca="false">IF($B12="","",IFERROR(INDEX(Misconceptions!$D$2:$D$43,MATCH($B12,Misconceptions!$A$2:$A$43,0)),"ID not found"))</f>
        <v/>
      </c>
      <c r="D12" s="7"/>
      <c r="E12" s="7"/>
      <c r="F12" s="7"/>
      <c r="G12" s="7"/>
      <c r="H12" s="7"/>
      <c r="I12" s="7"/>
      <c r="J12" s="7"/>
      <c r="K12" s="7"/>
      <c r="L12" s="7"/>
    </row>
    <row r="13" customFormat="false" ht="15" hidden="false" customHeight="true" outlineLevel="0" collapsed="false">
      <c r="A13" s="7"/>
      <c r="B13" s="7"/>
      <c r="C13" s="6" t="str">
        <f aca="false">IF($B13="","",IFERROR(INDEX(Misconceptions!$D$2:$D$43,MATCH($B13,Misconceptions!$A$2:$A$43,0)),"ID not found"))</f>
        <v/>
      </c>
      <c r="D13" s="7"/>
      <c r="E13" s="7"/>
      <c r="F13" s="7"/>
      <c r="G13" s="7"/>
      <c r="H13" s="7"/>
      <c r="I13" s="7"/>
      <c r="J13" s="7"/>
      <c r="K13" s="7"/>
      <c r="L13" s="7"/>
    </row>
    <row r="14" customFormat="false" ht="15" hidden="false" customHeight="true" outlineLevel="0" collapsed="false">
      <c r="A14" s="7"/>
      <c r="B14" s="7"/>
      <c r="C14" s="6" t="str">
        <f aca="false">IF($B14="","",IFERROR(INDEX(Misconceptions!$D$2:$D$43,MATCH($B14,Misconceptions!$A$2:$A$43,0)),"ID not found"))</f>
        <v/>
      </c>
      <c r="D14" s="7"/>
      <c r="E14" s="7"/>
      <c r="F14" s="7"/>
      <c r="G14" s="7"/>
      <c r="H14" s="7"/>
      <c r="I14" s="7"/>
      <c r="J14" s="7"/>
      <c r="K14" s="7"/>
      <c r="L14" s="7"/>
    </row>
    <row r="15" customFormat="false" ht="15" hidden="false" customHeight="true" outlineLevel="0" collapsed="false">
      <c r="A15" s="7"/>
      <c r="B15" s="7"/>
      <c r="C15" s="6" t="str">
        <f aca="false">IF($B15="","",IFERROR(INDEX(Misconceptions!$D$2:$D$43,MATCH($B15,Misconceptions!$A$2:$A$43,0)),"ID not found"))</f>
        <v/>
      </c>
      <c r="D15" s="7"/>
      <c r="E15" s="7"/>
      <c r="F15" s="7"/>
      <c r="G15" s="7"/>
      <c r="H15" s="7"/>
      <c r="I15" s="7"/>
      <c r="J15" s="7"/>
      <c r="K15" s="7"/>
      <c r="L15" s="7"/>
    </row>
    <row r="16" customFormat="false" ht="15" hidden="false" customHeight="true" outlineLevel="0" collapsed="false">
      <c r="A16" s="7"/>
      <c r="B16" s="7"/>
      <c r="C16" s="6" t="str">
        <f aca="false">IF($B16="","",IFERROR(INDEX(Misconceptions!$D$2:$D$43,MATCH($B16,Misconceptions!$A$2:$A$43,0)),"ID not found"))</f>
        <v/>
      </c>
      <c r="D16" s="7"/>
      <c r="E16" s="7"/>
      <c r="F16" s="7"/>
      <c r="G16" s="7"/>
      <c r="H16" s="7"/>
      <c r="I16" s="7"/>
      <c r="J16" s="7"/>
      <c r="K16" s="7"/>
      <c r="L16" s="7"/>
    </row>
    <row r="17" customFormat="false" ht="15" hidden="false" customHeight="true" outlineLevel="0" collapsed="false">
      <c r="A17" s="7"/>
      <c r="B17" s="7"/>
      <c r="C17" s="6" t="str">
        <f aca="false">IF($B17="","",IFERROR(INDEX(Misconceptions!$D$2:$D$43,MATCH($B17,Misconceptions!$A$2:$A$43,0)),"ID not found"))</f>
        <v/>
      </c>
      <c r="D17" s="7"/>
      <c r="E17" s="7"/>
      <c r="F17" s="7"/>
      <c r="G17" s="7"/>
      <c r="H17" s="7"/>
      <c r="I17" s="7"/>
      <c r="J17" s="7"/>
      <c r="K17" s="7"/>
      <c r="L17" s="7"/>
    </row>
    <row r="18" customFormat="false" ht="15" hidden="false" customHeight="true" outlineLevel="0" collapsed="false">
      <c r="A18" s="7"/>
      <c r="B18" s="7"/>
      <c r="C18" s="6" t="str">
        <f aca="false">IF($B18="","",IFERROR(INDEX(Misconceptions!$D$2:$D$43,MATCH($B18,Misconceptions!$A$2:$A$43,0)),"ID not found"))</f>
        <v/>
      </c>
      <c r="D18" s="7"/>
      <c r="E18" s="7"/>
      <c r="F18" s="7"/>
      <c r="G18" s="7"/>
      <c r="H18" s="7"/>
      <c r="I18" s="7"/>
      <c r="J18" s="7"/>
      <c r="K18" s="7"/>
      <c r="L18" s="7"/>
    </row>
    <row r="19" customFormat="false" ht="15" hidden="false" customHeight="true" outlineLevel="0" collapsed="false">
      <c r="A19" s="7"/>
      <c r="B19" s="7"/>
      <c r="C19" s="6" t="str">
        <f aca="false">IF($B19="","",IFERROR(INDEX(Misconceptions!$D$2:$D$43,MATCH($B19,Misconceptions!$A$2:$A$43,0)),"ID not found"))</f>
        <v/>
      </c>
      <c r="D19" s="7"/>
      <c r="E19" s="7"/>
      <c r="F19" s="7"/>
      <c r="G19" s="7"/>
      <c r="H19" s="7"/>
      <c r="I19" s="7"/>
      <c r="J19" s="7"/>
      <c r="K19" s="7"/>
      <c r="L19" s="7"/>
    </row>
    <row r="20" customFormat="false" ht="15" hidden="false" customHeight="true" outlineLevel="0" collapsed="false">
      <c r="A20" s="7"/>
      <c r="B20" s="7"/>
      <c r="C20" s="6" t="str">
        <f aca="false">IF($B20="","",IFERROR(INDEX(Misconceptions!$D$2:$D$43,MATCH($B20,Misconceptions!$A$2:$A$43,0)),"ID not found"))</f>
        <v/>
      </c>
      <c r="D20" s="7"/>
      <c r="E20" s="7"/>
      <c r="F20" s="7"/>
      <c r="G20" s="7"/>
      <c r="H20" s="7"/>
      <c r="I20" s="7"/>
      <c r="J20" s="7"/>
      <c r="K20" s="7"/>
      <c r="L20" s="7"/>
    </row>
    <row r="21" customFormat="false" ht="15" hidden="false" customHeight="true" outlineLevel="0" collapsed="false">
      <c r="A21" s="7"/>
      <c r="B21" s="7"/>
      <c r="C21" s="6" t="str">
        <f aca="false">IF($B21="","",IFERROR(INDEX(Misconceptions!$D$2:$D$43,MATCH($B21,Misconceptions!$A$2:$A$43,0)),"ID not found"))</f>
        <v/>
      </c>
      <c r="D21" s="7"/>
      <c r="E21" s="7"/>
      <c r="F21" s="7"/>
      <c r="G21" s="7"/>
      <c r="H21" s="7"/>
      <c r="I21" s="7"/>
      <c r="J21" s="7"/>
      <c r="K21" s="7"/>
      <c r="L21" s="7"/>
    </row>
    <row r="22" customFormat="false" ht="15" hidden="false" customHeight="true" outlineLevel="0" collapsed="false">
      <c r="A22" s="7"/>
      <c r="B22" s="7"/>
      <c r="C22" s="6" t="str">
        <f aca="false">IF($B22="","",IFERROR(INDEX(Misconceptions!$D$2:$D$43,MATCH($B22,Misconceptions!$A$2:$A$43,0)),"ID not found"))</f>
        <v/>
      </c>
      <c r="D22" s="7"/>
      <c r="E22" s="7"/>
      <c r="F22" s="7"/>
      <c r="G22" s="7"/>
      <c r="H22" s="7"/>
      <c r="I22" s="7"/>
      <c r="J22" s="7"/>
      <c r="K22" s="7"/>
      <c r="L22" s="7"/>
    </row>
    <row r="23" customFormat="false" ht="15" hidden="false" customHeight="true" outlineLevel="0" collapsed="false">
      <c r="A23" s="7"/>
      <c r="B23" s="7"/>
      <c r="C23" s="6" t="str">
        <f aca="false">IF($B23="","",IFERROR(INDEX(Misconceptions!$D$2:$D$43,MATCH($B23,Misconceptions!$A$2:$A$43,0)),"ID not found"))</f>
        <v/>
      </c>
      <c r="D23" s="7"/>
      <c r="E23" s="7"/>
      <c r="F23" s="7"/>
      <c r="G23" s="7"/>
      <c r="H23" s="7"/>
      <c r="I23" s="7"/>
      <c r="J23" s="7"/>
      <c r="K23" s="7"/>
      <c r="L23" s="7"/>
    </row>
    <row r="24" customFormat="false" ht="15" hidden="false" customHeight="true" outlineLevel="0" collapsed="false">
      <c r="A24" s="7"/>
      <c r="B24" s="7"/>
      <c r="C24" s="6" t="str">
        <f aca="false">IF($B24="","",IFERROR(INDEX(Misconceptions!$D$2:$D$43,MATCH($B24,Misconceptions!$A$2:$A$43,0)),"ID not found"))</f>
        <v/>
      </c>
      <c r="D24" s="7"/>
      <c r="E24" s="7"/>
      <c r="F24" s="7"/>
      <c r="G24" s="7"/>
      <c r="H24" s="7"/>
      <c r="I24" s="7"/>
      <c r="J24" s="7"/>
      <c r="K24" s="7"/>
      <c r="L24" s="7"/>
    </row>
    <row r="25" customFormat="false" ht="15" hidden="false" customHeight="true" outlineLevel="0" collapsed="false">
      <c r="A25" s="7"/>
      <c r="B25" s="7"/>
      <c r="C25" s="6" t="str">
        <f aca="false">IF($B25="","",IFERROR(INDEX(Misconceptions!$D$2:$D$43,MATCH($B25,Misconceptions!$A$2:$A$43,0)),"ID not found"))</f>
        <v/>
      </c>
      <c r="D25" s="7"/>
      <c r="E25" s="7"/>
      <c r="F25" s="7"/>
      <c r="G25" s="7"/>
      <c r="H25" s="7"/>
      <c r="I25" s="7"/>
      <c r="J25" s="7"/>
      <c r="K25" s="7"/>
      <c r="L25" s="7"/>
    </row>
    <row r="26" customFormat="false" ht="15" hidden="false" customHeight="true" outlineLevel="0" collapsed="false">
      <c r="A26" s="7"/>
      <c r="B26" s="7"/>
      <c r="C26" s="6" t="str">
        <f aca="false">IF($B26="","",IFERROR(INDEX(Misconceptions!$D$2:$D$43,MATCH($B26,Misconceptions!$A$2:$A$43,0)),"ID not found"))</f>
        <v/>
      </c>
      <c r="D26" s="7"/>
      <c r="E26" s="7"/>
      <c r="F26" s="7"/>
      <c r="G26" s="7"/>
      <c r="H26" s="7"/>
      <c r="I26" s="7"/>
      <c r="J26" s="7"/>
      <c r="K26" s="7"/>
      <c r="L26" s="7"/>
    </row>
    <row r="27" customFormat="false" ht="15" hidden="false" customHeight="true" outlineLevel="0" collapsed="false">
      <c r="A27" s="7"/>
      <c r="B27" s="7"/>
      <c r="C27" s="6" t="str">
        <f aca="false">IF($B27="","",IFERROR(INDEX(Misconceptions!$D$2:$D$43,MATCH($B27,Misconceptions!$A$2:$A$43,0)),"ID not found"))</f>
        <v/>
      </c>
      <c r="D27" s="7"/>
      <c r="E27" s="7"/>
      <c r="F27" s="7"/>
      <c r="G27" s="7"/>
      <c r="H27" s="7"/>
      <c r="I27" s="7"/>
      <c r="J27" s="7"/>
      <c r="K27" s="7"/>
      <c r="L27" s="7"/>
    </row>
    <row r="28" customFormat="false" ht="15" hidden="false" customHeight="true" outlineLevel="0" collapsed="false">
      <c r="A28" s="7"/>
      <c r="B28" s="7"/>
      <c r="C28" s="6" t="str">
        <f aca="false">IF($B28="","",IFERROR(INDEX(Misconceptions!$D$2:$D$43,MATCH($B28,Misconceptions!$A$2:$A$43,0)),"ID not found"))</f>
        <v/>
      </c>
      <c r="D28" s="7"/>
      <c r="E28" s="7"/>
      <c r="F28" s="7"/>
      <c r="G28" s="7"/>
      <c r="H28" s="7"/>
      <c r="I28" s="7"/>
      <c r="J28" s="7"/>
      <c r="K28" s="7"/>
      <c r="L28" s="7"/>
    </row>
    <row r="29" customFormat="false" ht="15" hidden="false" customHeight="true" outlineLevel="0" collapsed="false">
      <c r="A29" s="7"/>
      <c r="B29" s="7"/>
      <c r="C29" s="6" t="str">
        <f aca="false">IF($B29="","",IFERROR(INDEX(Misconceptions!$D$2:$D$43,MATCH($B29,Misconceptions!$A$2:$A$43,0)),"ID not found"))</f>
        <v/>
      </c>
      <c r="D29" s="7"/>
      <c r="E29" s="7"/>
      <c r="F29" s="7"/>
      <c r="G29" s="7"/>
      <c r="H29" s="7"/>
      <c r="I29" s="7"/>
      <c r="J29" s="7"/>
      <c r="K29" s="7"/>
      <c r="L29" s="7"/>
    </row>
    <row r="30" customFormat="false" ht="15" hidden="false" customHeight="true" outlineLevel="0" collapsed="false">
      <c r="A30" s="7"/>
      <c r="B30" s="7"/>
      <c r="C30" s="6" t="str">
        <f aca="false">IF($B30="","",IFERROR(INDEX(Misconceptions!$D$2:$D$43,MATCH($B30,Misconceptions!$A$2:$A$43,0)),"ID not found"))</f>
        <v/>
      </c>
      <c r="D30" s="7"/>
      <c r="E30" s="7"/>
      <c r="F30" s="7"/>
      <c r="G30" s="7"/>
      <c r="H30" s="7"/>
      <c r="I30" s="7"/>
      <c r="J30" s="7"/>
      <c r="K30" s="7"/>
      <c r="L30" s="7"/>
    </row>
    <row r="31" customFormat="false" ht="15" hidden="false" customHeight="true" outlineLevel="0" collapsed="false">
      <c r="A31" s="7"/>
      <c r="B31" s="7"/>
      <c r="C31" s="6" t="str">
        <f aca="false">IF($B31="","",IFERROR(INDEX(Misconceptions!$D$2:$D$43,MATCH($B31,Misconceptions!$A$2:$A$43,0)),"ID not found"))</f>
        <v/>
      </c>
      <c r="D31" s="7"/>
      <c r="E31" s="7"/>
      <c r="F31" s="7"/>
      <c r="G31" s="7"/>
      <c r="H31" s="7"/>
      <c r="I31" s="7"/>
      <c r="J31" s="7"/>
      <c r="K31" s="7"/>
      <c r="L31" s="7"/>
    </row>
    <row r="32" customFormat="false" ht="15" hidden="false" customHeight="true" outlineLevel="0" collapsed="false">
      <c r="A32" s="7"/>
      <c r="B32" s="7"/>
      <c r="C32" s="6" t="str">
        <f aca="false">IF($B32="","",IFERROR(INDEX(Misconceptions!$D$2:$D$43,MATCH($B32,Misconceptions!$A$2:$A$43,0)),"ID not found"))</f>
        <v/>
      </c>
      <c r="D32" s="7"/>
      <c r="E32" s="7"/>
      <c r="F32" s="7"/>
      <c r="G32" s="7"/>
      <c r="H32" s="7"/>
      <c r="I32" s="7"/>
      <c r="J32" s="7"/>
      <c r="K32" s="7"/>
      <c r="L32" s="7"/>
    </row>
    <row r="33" customFormat="false" ht="15" hidden="false" customHeight="true" outlineLevel="0" collapsed="false">
      <c r="A33" s="7"/>
      <c r="B33" s="7"/>
      <c r="C33" s="6" t="str">
        <f aca="false">IF($B33="","",IFERROR(INDEX(Misconceptions!$D$2:$D$43,MATCH($B33,Misconceptions!$A$2:$A$43,0)),"ID not found"))</f>
        <v/>
      </c>
      <c r="D33" s="7"/>
      <c r="E33" s="7"/>
      <c r="F33" s="7"/>
      <c r="G33" s="7"/>
      <c r="H33" s="7"/>
      <c r="I33" s="7"/>
      <c r="J33" s="7"/>
      <c r="K33" s="7"/>
      <c r="L33" s="7"/>
    </row>
    <row r="34" customFormat="false" ht="15" hidden="false" customHeight="true" outlineLevel="0" collapsed="false">
      <c r="A34" s="7"/>
      <c r="B34" s="7"/>
      <c r="C34" s="6" t="str">
        <f aca="false">IF($B34="","",IFERROR(INDEX(Misconceptions!$D$2:$D$43,MATCH($B34,Misconceptions!$A$2:$A$43,0)),"ID not found"))</f>
        <v/>
      </c>
      <c r="D34" s="7"/>
      <c r="E34" s="7"/>
      <c r="F34" s="7"/>
      <c r="G34" s="7"/>
      <c r="H34" s="7"/>
      <c r="I34" s="7"/>
      <c r="J34" s="7"/>
      <c r="K34" s="7"/>
      <c r="L34" s="7"/>
    </row>
    <row r="35" customFormat="false" ht="15" hidden="false" customHeight="true" outlineLevel="0" collapsed="false">
      <c r="A35" s="7"/>
      <c r="B35" s="7"/>
      <c r="C35" s="6" t="str">
        <f aca="false">IF($B35="","",IFERROR(INDEX(Misconceptions!$D$2:$D$43,MATCH($B35,Misconceptions!$A$2:$A$43,0)),"ID not found"))</f>
        <v/>
      </c>
      <c r="D35" s="7"/>
      <c r="E35" s="7"/>
      <c r="F35" s="7"/>
      <c r="G35" s="7"/>
      <c r="H35" s="7"/>
      <c r="I35" s="7"/>
      <c r="J35" s="7"/>
      <c r="K35" s="7"/>
      <c r="L35" s="7"/>
    </row>
    <row r="36" customFormat="false" ht="15" hidden="false" customHeight="true" outlineLevel="0" collapsed="false">
      <c r="A36" s="7"/>
      <c r="B36" s="7"/>
      <c r="C36" s="6" t="str">
        <f aca="false">IF($B36="","",IFERROR(INDEX(Misconceptions!$D$2:$D$43,MATCH($B36,Misconceptions!$A$2:$A$43,0)),"ID not found"))</f>
        <v/>
      </c>
      <c r="D36" s="7"/>
      <c r="E36" s="7"/>
      <c r="F36" s="7"/>
      <c r="G36" s="7"/>
      <c r="H36" s="7"/>
      <c r="I36" s="7"/>
      <c r="J36" s="7"/>
      <c r="K36" s="7"/>
      <c r="L36" s="7"/>
    </row>
    <row r="37" customFormat="false" ht="15" hidden="false" customHeight="true" outlineLevel="0" collapsed="false">
      <c r="A37" s="7"/>
      <c r="B37" s="7"/>
      <c r="C37" s="6" t="str">
        <f aca="false">IF($B37="","",IFERROR(INDEX(Misconceptions!$D$2:$D$43,MATCH($B37,Misconceptions!$A$2:$A$43,0)),"ID not found"))</f>
        <v/>
      </c>
      <c r="D37" s="7"/>
      <c r="E37" s="7"/>
      <c r="F37" s="7"/>
      <c r="G37" s="7"/>
      <c r="H37" s="7"/>
      <c r="I37" s="7"/>
      <c r="J37" s="7"/>
      <c r="K37" s="7"/>
      <c r="L37" s="7"/>
    </row>
    <row r="38" customFormat="false" ht="15" hidden="false" customHeight="true" outlineLevel="0" collapsed="false">
      <c r="A38" s="7"/>
      <c r="B38" s="7"/>
      <c r="C38" s="6" t="str">
        <f aca="false">IF($B38="","",IFERROR(INDEX(Misconceptions!$D$2:$D$43,MATCH($B38,Misconceptions!$A$2:$A$43,0)),"ID not found"))</f>
        <v/>
      </c>
      <c r="D38" s="7"/>
      <c r="E38" s="7"/>
      <c r="F38" s="7"/>
      <c r="G38" s="7"/>
      <c r="H38" s="7"/>
      <c r="I38" s="7"/>
      <c r="J38" s="7"/>
      <c r="K38" s="7"/>
      <c r="L38" s="7"/>
    </row>
    <row r="39" customFormat="false" ht="15" hidden="false" customHeight="true" outlineLevel="0" collapsed="false">
      <c r="A39" s="7"/>
      <c r="B39" s="7"/>
      <c r="C39" s="6" t="str">
        <f aca="false">IF($B39="","",IFERROR(INDEX(Misconceptions!$D$2:$D$43,MATCH($B39,Misconceptions!$A$2:$A$43,0)),"ID not found"))</f>
        <v/>
      </c>
      <c r="D39" s="7"/>
      <c r="E39" s="7"/>
      <c r="F39" s="7"/>
      <c r="G39" s="7"/>
      <c r="H39" s="7"/>
      <c r="I39" s="7"/>
      <c r="J39" s="7"/>
      <c r="K39" s="7"/>
      <c r="L39" s="7"/>
    </row>
    <row r="40" customFormat="false" ht="15" hidden="false" customHeight="true" outlineLevel="0" collapsed="false">
      <c r="A40" s="7"/>
      <c r="B40" s="7"/>
      <c r="C40" s="6" t="str">
        <f aca="false">IF($B40="","",IFERROR(INDEX(Misconceptions!$D$2:$D$43,MATCH($B40,Misconceptions!$A$2:$A$43,0)),"ID not found"))</f>
        <v/>
      </c>
      <c r="D40" s="7"/>
      <c r="E40" s="7"/>
      <c r="F40" s="7"/>
      <c r="G40" s="7"/>
      <c r="H40" s="7"/>
      <c r="I40" s="7"/>
      <c r="J40" s="7"/>
      <c r="K40" s="7"/>
      <c r="L40" s="7"/>
    </row>
    <row r="41" customFormat="false" ht="15" hidden="false" customHeight="true" outlineLevel="0" collapsed="false">
      <c r="A41" s="7"/>
      <c r="B41" s="7"/>
      <c r="C41" s="6" t="str">
        <f aca="false">IF($B41="","",IFERROR(INDEX(Misconceptions!$D$2:$D$43,MATCH($B41,Misconceptions!$A$2:$A$43,0)),"ID not found"))</f>
        <v/>
      </c>
      <c r="D41" s="7"/>
      <c r="E41" s="7"/>
      <c r="F41" s="7"/>
      <c r="G41" s="7"/>
      <c r="H41" s="7"/>
      <c r="I41" s="7"/>
      <c r="J41" s="7"/>
      <c r="K41" s="7"/>
      <c r="L41" s="7"/>
    </row>
    <row r="43" customFormat="false" ht="15" hidden="false" customHeight="true" outlineLevel="0" collapsed="false">
      <c r="A43" s="14" t="s">
        <v>500</v>
      </c>
    </row>
  </sheetData>
  <dataValidations count="2">
    <dataValidation allowBlank="true" error="Choose an ID from the Misconceptions sheet." errorStyle="stop" errorTitle="Unknown misconception ID" operator="between" showDropDown="false" showErrorMessage="false" showInputMessage="false" sqref="B2:B41" type="list">
      <formula1>Misconceptions!$A$2:$A$43</formula1>
      <formula2>0</formula2>
    </dataValidation>
    <dataValidation allowBlank="true" errorStyle="stop" operator="between" showDropDown="false" showErrorMessage="false" showInputMessage="false" sqref="J2:J41" type="list">
      <formula1>"Draft,Reviewed,Piloted,Retired"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70"/>
    <col collapsed="false" customWidth="true" hidden="false" outlineLevel="0" max="4" min="4" style="1" width="55"/>
    <col collapsed="false" customWidth="true" hidden="false" outlineLevel="0" max="5" min="5" style="1" width="50"/>
    <col collapsed="false" customWidth="true" hidden="false" outlineLevel="0" max="6" min="6" style="1" width="16"/>
  </cols>
  <sheetData>
    <row r="1" customFormat="false" ht="34.5" hidden="false" customHeight="true" outlineLevel="0" collapsed="false">
      <c r="A1" s="5" t="s">
        <v>501</v>
      </c>
      <c r="B1" s="5" t="s">
        <v>502</v>
      </c>
      <c r="C1" s="5" t="s">
        <v>503</v>
      </c>
      <c r="D1" s="5" t="s">
        <v>504</v>
      </c>
      <c r="E1" s="5" t="s">
        <v>505</v>
      </c>
      <c r="F1" s="5" t="s">
        <v>506</v>
      </c>
    </row>
    <row r="2" customFormat="false" ht="23.25" hidden="false" customHeight="true" outlineLevel="0" collapsed="false">
      <c r="A2" s="6" t="s">
        <v>507</v>
      </c>
      <c r="B2" s="6" t="s">
        <v>508</v>
      </c>
      <c r="C2" s="6" t="s">
        <v>509</v>
      </c>
      <c r="D2" s="6" t="s">
        <v>510</v>
      </c>
      <c r="E2" s="6" t="s">
        <v>511</v>
      </c>
      <c r="F2" s="6" t="n">
        <f aca="false">COUNTIF(Misconceptions!$L$2:$L$43,"*"&amp;A2&amp;"*")</f>
        <v>1</v>
      </c>
    </row>
    <row r="3" customFormat="false" ht="15" hidden="false" customHeight="true" outlineLevel="0" collapsed="false">
      <c r="A3" s="6" t="s">
        <v>512</v>
      </c>
      <c r="B3" s="6" t="s">
        <v>513</v>
      </c>
      <c r="C3" s="6" t="s">
        <v>514</v>
      </c>
      <c r="D3" s="6" t="s">
        <v>515</v>
      </c>
      <c r="E3" s="6" t="s">
        <v>516</v>
      </c>
      <c r="F3" s="6" t="n">
        <f aca="false">COUNTIF(Misconceptions!$L$2:$L$43,"*"&amp;A3&amp;"*")</f>
        <v>2</v>
      </c>
    </row>
    <row r="4" customFormat="false" ht="15" hidden="false" customHeight="true" outlineLevel="0" collapsed="false">
      <c r="A4" s="6" t="s">
        <v>517</v>
      </c>
      <c r="B4" s="6" t="s">
        <v>518</v>
      </c>
      <c r="C4" s="6" t="s">
        <v>519</v>
      </c>
      <c r="D4" s="6" t="s">
        <v>520</v>
      </c>
      <c r="E4" s="6" t="s">
        <v>521</v>
      </c>
      <c r="F4" s="6" t="n">
        <f aca="false">COUNTIF(Misconceptions!$L$2:$L$43,"*"&amp;A4&amp;"*")</f>
        <v>1</v>
      </c>
    </row>
    <row r="5" customFormat="false" ht="23.25" hidden="false" customHeight="true" outlineLevel="0" collapsed="false">
      <c r="A5" s="6" t="s">
        <v>522</v>
      </c>
      <c r="B5" s="6" t="s">
        <v>523</v>
      </c>
      <c r="C5" s="6" t="s">
        <v>524</v>
      </c>
      <c r="D5" s="6" t="s">
        <v>525</v>
      </c>
      <c r="E5" s="6" t="s">
        <v>526</v>
      </c>
      <c r="F5" s="6" t="n">
        <f aca="false">COUNTIF(Misconceptions!$L$2:$L$43,"*"&amp;A5&amp;"*")</f>
        <v>1</v>
      </c>
    </row>
    <row r="6" customFormat="false" ht="15" hidden="false" customHeight="true" outlineLevel="0" collapsed="false">
      <c r="A6" s="6" t="s">
        <v>527</v>
      </c>
      <c r="B6" s="6" t="s">
        <v>528</v>
      </c>
      <c r="C6" s="6" t="s">
        <v>529</v>
      </c>
      <c r="D6" s="6" t="s">
        <v>530</v>
      </c>
      <c r="E6" s="6" t="s">
        <v>531</v>
      </c>
      <c r="F6" s="6" t="n">
        <f aca="false">COUNTIF(Misconceptions!$L$2:$L$43,"*"&amp;A6&amp;"*")</f>
        <v>3</v>
      </c>
    </row>
    <row r="7" customFormat="false" ht="23.25" hidden="false" customHeight="true" outlineLevel="0" collapsed="false">
      <c r="A7" s="6" t="s">
        <v>532</v>
      </c>
      <c r="B7" s="6" t="s">
        <v>533</v>
      </c>
      <c r="C7" s="6" t="s">
        <v>534</v>
      </c>
      <c r="D7" s="6" t="s">
        <v>535</v>
      </c>
      <c r="E7" s="6" t="s">
        <v>536</v>
      </c>
      <c r="F7" s="6" t="n">
        <f aca="false">COUNTIF(Misconceptions!$L$2:$L$43,"*"&amp;A7&amp;"*")</f>
        <v>1</v>
      </c>
    </row>
    <row r="8" customFormat="false" ht="34.5" hidden="false" customHeight="true" outlineLevel="0" collapsed="false">
      <c r="A8" s="6" t="s">
        <v>537</v>
      </c>
      <c r="B8" s="6" t="s">
        <v>538</v>
      </c>
      <c r="C8" s="6" t="s">
        <v>539</v>
      </c>
      <c r="D8" s="6" t="s">
        <v>540</v>
      </c>
      <c r="E8" s="6" t="s">
        <v>541</v>
      </c>
      <c r="F8" s="6" t="n">
        <f aca="false">COUNTIF(Misconceptions!$L$2:$L$43,"*"&amp;A8&amp;"*")</f>
        <v>1</v>
      </c>
    </row>
    <row r="9" customFormat="false" ht="23.25" hidden="false" customHeight="true" outlineLevel="0" collapsed="false">
      <c r="A9" s="6" t="s">
        <v>542</v>
      </c>
      <c r="B9" s="6" t="s">
        <v>543</v>
      </c>
      <c r="C9" s="6" t="s">
        <v>544</v>
      </c>
      <c r="D9" s="6" t="s">
        <v>545</v>
      </c>
      <c r="E9" s="6"/>
      <c r="F9" s="6" t="n">
        <f aca="false">COUNTIF(Misconceptions!$L$2:$L$43,"*"&amp;A9&amp;"*")</f>
        <v>2</v>
      </c>
    </row>
    <row r="10" customFormat="false" ht="15" hidden="false" customHeight="true" outlineLevel="0" collapsed="false">
      <c r="A10" s="6" t="s">
        <v>546</v>
      </c>
      <c r="B10" s="6" t="s">
        <v>547</v>
      </c>
      <c r="C10" s="6" t="s">
        <v>548</v>
      </c>
      <c r="D10" s="6" t="s">
        <v>549</v>
      </c>
      <c r="E10" s="6" t="s">
        <v>550</v>
      </c>
      <c r="F10" s="6" t="n">
        <f aca="false">COUNTIF(Misconceptions!$L$2:$L$43,"*"&amp;A10&amp;"*")</f>
        <v>3</v>
      </c>
    </row>
    <row r="11" customFormat="false" ht="23.25" hidden="false" customHeight="true" outlineLevel="0" collapsed="false">
      <c r="A11" s="6" t="s">
        <v>551</v>
      </c>
      <c r="B11" s="6" t="s">
        <v>552</v>
      </c>
      <c r="C11" s="6" t="s">
        <v>553</v>
      </c>
      <c r="D11" s="6" t="s">
        <v>554</v>
      </c>
      <c r="E11" s="6" t="s">
        <v>555</v>
      </c>
      <c r="F11" s="6" t="n">
        <f aca="false">COUNTIF(Misconceptions!$L$2:$L$43,"*"&amp;A11&amp;"*")</f>
        <v>1</v>
      </c>
    </row>
    <row r="12" customFormat="false" ht="23.25" hidden="false" customHeight="true" outlineLevel="0" collapsed="false">
      <c r="A12" s="6" t="s">
        <v>365</v>
      </c>
      <c r="B12" s="6" t="s">
        <v>556</v>
      </c>
      <c r="C12" s="6" t="s">
        <v>557</v>
      </c>
      <c r="D12" s="6" t="s">
        <v>558</v>
      </c>
      <c r="E12" s="6"/>
      <c r="F12" s="6" t="n">
        <f aca="false">COUNTIF(Misconceptions!$L$2:$L$43,"*"&amp;A12&amp;"*")</f>
        <v>1</v>
      </c>
    </row>
    <row r="13" customFormat="false" ht="23.25" hidden="false" customHeight="true" outlineLevel="0" collapsed="false">
      <c r="A13" s="6" t="s">
        <v>559</v>
      </c>
      <c r="B13" s="6" t="s">
        <v>560</v>
      </c>
      <c r="C13" s="6" t="s">
        <v>561</v>
      </c>
      <c r="D13" s="6" t="s">
        <v>562</v>
      </c>
      <c r="E13" s="6" t="s">
        <v>563</v>
      </c>
      <c r="F13" s="6" t="n">
        <f aca="false">COUNTIF(Misconceptions!$L$2:$L$43,"*"&amp;A13&amp;"*")</f>
        <v>2</v>
      </c>
    </row>
    <row r="14" customFormat="false" ht="23.25" hidden="false" customHeight="true" outlineLevel="0" collapsed="false">
      <c r="A14" s="6" t="s">
        <v>564</v>
      </c>
      <c r="B14" s="6" t="s">
        <v>565</v>
      </c>
      <c r="C14" s="6" t="s">
        <v>566</v>
      </c>
      <c r="D14" s="6" t="s">
        <v>567</v>
      </c>
      <c r="E14" s="6" t="s">
        <v>568</v>
      </c>
      <c r="F14" s="6" t="n">
        <f aca="false">COUNTIF(Misconceptions!$L$2:$L$43,"*"&amp;A14&amp;"*")</f>
        <v>1</v>
      </c>
    </row>
    <row r="15" customFormat="false" ht="15" hidden="false" customHeight="true" outlineLevel="0" collapsed="false">
      <c r="A15" s="6" t="s">
        <v>384</v>
      </c>
      <c r="B15" s="6" t="s">
        <v>569</v>
      </c>
      <c r="C15" s="6" t="s">
        <v>570</v>
      </c>
      <c r="D15" s="6" t="s">
        <v>571</v>
      </c>
      <c r="E15" s="6" t="s">
        <v>572</v>
      </c>
      <c r="F15" s="6" t="n">
        <f aca="false">COUNTIF(Misconceptions!$L$2:$L$43,"*"&amp;A15&amp;"*")</f>
        <v>1</v>
      </c>
    </row>
    <row r="16" customFormat="false" ht="23.25" hidden="false" customHeight="true" outlineLevel="0" collapsed="false">
      <c r="A16" s="6" t="s">
        <v>573</v>
      </c>
      <c r="B16" s="6" t="s">
        <v>574</v>
      </c>
      <c r="C16" s="6" t="s">
        <v>575</v>
      </c>
      <c r="D16" s="6" t="s">
        <v>576</v>
      </c>
      <c r="E16" s="6" t="s">
        <v>577</v>
      </c>
      <c r="F16" s="6" t="n">
        <f aca="false">COUNTIF(Misconceptions!$L$2:$L$43,"*"&amp;A16&amp;"*")</f>
        <v>1</v>
      </c>
    </row>
    <row r="17" customFormat="false" ht="23.25" hidden="false" customHeight="true" outlineLevel="0" collapsed="false">
      <c r="A17" s="6" t="s">
        <v>578</v>
      </c>
      <c r="B17" s="6" t="s">
        <v>579</v>
      </c>
      <c r="C17" s="6" t="s">
        <v>580</v>
      </c>
      <c r="D17" s="6" t="s">
        <v>581</v>
      </c>
      <c r="E17" s="6" t="s">
        <v>582</v>
      </c>
      <c r="F17" s="6" t="n">
        <f aca="false">COUNTIF(Misconceptions!$L$2:$L$43,"*"&amp;A17&amp;"*")</f>
        <v>1</v>
      </c>
    </row>
    <row r="18" customFormat="false" ht="15" hidden="false" customHeight="true" outlineLevel="0" collapsed="false">
      <c r="A18" s="6" t="s">
        <v>473</v>
      </c>
      <c r="B18" s="6" t="s">
        <v>583</v>
      </c>
      <c r="C18" s="6" t="s">
        <v>584</v>
      </c>
      <c r="D18" s="6" t="s">
        <v>585</v>
      </c>
      <c r="E18" s="6" t="s">
        <v>586</v>
      </c>
      <c r="F18" s="6" t="n">
        <f aca="false">COUNTIF(Misconceptions!$L$2:$L$43,"*"&amp;A18&amp;"*")</f>
        <v>1</v>
      </c>
    </row>
    <row r="19" customFormat="false" ht="23.25" hidden="false" customHeight="true" outlineLevel="0" collapsed="false">
      <c r="A19" s="6" t="s">
        <v>243</v>
      </c>
      <c r="B19" s="6" t="s">
        <v>587</v>
      </c>
      <c r="C19" s="6" t="s">
        <v>588</v>
      </c>
      <c r="D19" s="6" t="s">
        <v>589</v>
      </c>
      <c r="E19" s="6" t="s">
        <v>590</v>
      </c>
      <c r="F19" s="6" t="n">
        <f aca="false">COUNTIF(Misconceptions!$L$2:$L$43,"*"&amp;A19&amp;"*")</f>
        <v>2</v>
      </c>
    </row>
    <row r="20" customFormat="false" ht="15" hidden="false" customHeight="true" outlineLevel="0" collapsed="false">
      <c r="A20" s="6" t="s">
        <v>591</v>
      </c>
      <c r="B20" s="6" t="s">
        <v>592</v>
      </c>
      <c r="C20" s="6" t="s">
        <v>593</v>
      </c>
      <c r="D20" s="6" t="s">
        <v>594</v>
      </c>
      <c r="E20" s="6" t="s">
        <v>595</v>
      </c>
      <c r="F20" s="6" t="n">
        <f aca="false">COUNTIF(Misconceptions!$L$2:$L$43,"*"&amp;A20&amp;"*")</f>
        <v>2</v>
      </c>
    </row>
    <row r="21" customFormat="false" ht="15" hidden="false" customHeight="true" outlineLevel="0" collapsed="false">
      <c r="A21" s="6" t="s">
        <v>596</v>
      </c>
      <c r="B21" s="6" t="s">
        <v>597</v>
      </c>
      <c r="C21" s="6" t="s">
        <v>598</v>
      </c>
      <c r="D21" s="6" t="s">
        <v>599</v>
      </c>
      <c r="E21" s="6"/>
      <c r="F21" s="6" t="n">
        <f aca="false">COUNTIF(Misconceptions!$L$2:$L$43,"*"&amp;A21&amp;"*")</f>
        <v>1</v>
      </c>
    </row>
    <row r="22" customFormat="false" ht="15" hidden="false" customHeight="true" outlineLevel="0" collapsed="false">
      <c r="A22" s="6" t="s">
        <v>600</v>
      </c>
      <c r="B22" s="6" t="s">
        <v>601</v>
      </c>
      <c r="C22" s="6" t="s">
        <v>602</v>
      </c>
      <c r="D22" s="6" t="s">
        <v>603</v>
      </c>
      <c r="E22" s="6" t="s">
        <v>604</v>
      </c>
      <c r="F22" s="6" t="n">
        <f aca="false">COUNTIF(Misconceptions!$L$2:$L$43,"*"&amp;A22&amp;"*")</f>
        <v>1</v>
      </c>
    </row>
    <row r="23" customFormat="false" ht="23.25" hidden="false" customHeight="true" outlineLevel="0" collapsed="false">
      <c r="A23" s="6" t="s">
        <v>605</v>
      </c>
      <c r="B23" s="6" t="s">
        <v>606</v>
      </c>
      <c r="C23" s="6" t="s">
        <v>607</v>
      </c>
      <c r="D23" s="6" t="s">
        <v>608</v>
      </c>
      <c r="E23" s="6"/>
      <c r="F23" s="6" t="n">
        <f aca="false">COUNTIF(Misconceptions!$L$2:$L$43,"*"&amp;A23&amp;"*")</f>
        <v>1</v>
      </c>
    </row>
    <row r="24" customFormat="false" ht="23.25" hidden="false" customHeight="true" outlineLevel="0" collapsed="false">
      <c r="A24" s="6" t="s">
        <v>75</v>
      </c>
      <c r="B24" s="6" t="s">
        <v>609</v>
      </c>
      <c r="C24" s="6" t="s">
        <v>43</v>
      </c>
      <c r="D24" s="6" t="s">
        <v>610</v>
      </c>
      <c r="E24" s="6"/>
      <c r="F24" s="6" t="n">
        <f aca="false">COUNTIF(Misconceptions!$L$2:$L$43,"*"&amp;A24&amp;"*")</f>
        <v>4</v>
      </c>
    </row>
    <row r="25" customFormat="false" ht="23.25" hidden="false" customHeight="true" outlineLevel="0" collapsed="false">
      <c r="A25" s="6" t="s">
        <v>611</v>
      </c>
      <c r="B25" s="6" t="s">
        <v>612</v>
      </c>
      <c r="C25" s="6" t="s">
        <v>613</v>
      </c>
      <c r="D25" s="6" t="s">
        <v>614</v>
      </c>
      <c r="E25" s="6"/>
      <c r="F25" s="6" t="n">
        <f aca="false">COUNTIF(Misconceptions!$L$2:$L$43,"*"&amp;A25&amp;"*")</f>
        <v>2</v>
      </c>
    </row>
    <row r="26" customFormat="false" ht="23.25" hidden="false" customHeight="true" outlineLevel="0" collapsed="false">
      <c r="A26" s="6" t="s">
        <v>94</v>
      </c>
      <c r="B26" s="6" t="s">
        <v>615</v>
      </c>
      <c r="C26" s="6" t="s">
        <v>616</v>
      </c>
      <c r="D26" s="6" t="s">
        <v>617</v>
      </c>
      <c r="E26" s="6" t="s">
        <v>618</v>
      </c>
      <c r="F26" s="6" t="n">
        <f aca="false">COUNTIF(Misconceptions!$L$2:$L$43,"*"&amp;A26&amp;"*")</f>
        <v>4</v>
      </c>
    </row>
    <row r="27" customFormat="false" ht="15" hidden="false" customHeight="true" outlineLevel="0" collapsed="false">
      <c r="A27" s="6" t="s">
        <v>619</v>
      </c>
      <c r="B27" s="6" t="s">
        <v>620</v>
      </c>
      <c r="C27" s="6" t="s">
        <v>621</v>
      </c>
      <c r="D27" s="6" t="s">
        <v>622</v>
      </c>
      <c r="E27" s="6"/>
      <c r="F27" s="6" t="n">
        <f aca="false">COUNTIF(Misconceptions!$L$2:$L$43,"*"&amp;A27&amp;"*")</f>
        <v>2</v>
      </c>
    </row>
    <row r="28" customFormat="false" ht="15" hidden="false" customHeight="true" outlineLevel="0" collapsed="false">
      <c r="A28" s="6" t="s">
        <v>623</v>
      </c>
      <c r="B28" s="6" t="s">
        <v>624</v>
      </c>
      <c r="C28" s="6" t="s">
        <v>625</v>
      </c>
      <c r="D28" s="6" t="s">
        <v>626</v>
      </c>
      <c r="E28" s="6" t="s">
        <v>627</v>
      </c>
      <c r="F28" s="6" t="n">
        <f aca="false">COUNTIF(Misconceptions!$L$2:$L$43,"*"&amp;A28&amp;"*")</f>
        <v>1</v>
      </c>
    </row>
    <row r="29" customFormat="false" ht="45.75" hidden="false" customHeight="true" outlineLevel="0" collapsed="false">
      <c r="A29" s="6" t="s">
        <v>628</v>
      </c>
      <c r="B29" s="6" t="s">
        <v>629</v>
      </c>
      <c r="C29" s="6" t="s">
        <v>630</v>
      </c>
      <c r="D29" s="6" t="s">
        <v>631</v>
      </c>
      <c r="E29" s="6" t="s">
        <v>632</v>
      </c>
      <c r="F29" s="6" t="n">
        <f aca="false">COUNTIF(Misconceptions!$L$2:$L$43,"*"&amp;A29&amp;"*")</f>
        <v>1</v>
      </c>
    </row>
    <row r="30" customFormat="false" ht="34.5" hidden="false" customHeight="true" outlineLevel="0" collapsed="false">
      <c r="A30" s="6" t="s">
        <v>633</v>
      </c>
      <c r="B30" s="6" t="s">
        <v>634</v>
      </c>
      <c r="C30" s="6" t="s">
        <v>635</v>
      </c>
      <c r="D30" s="6" t="s">
        <v>636</v>
      </c>
      <c r="E30" s="6" t="s">
        <v>637</v>
      </c>
      <c r="F30" s="6" t="n">
        <f aca="false">COUNTIF(Misconceptions!$L$2:$L$43,"*"&amp;A30&amp;"*")</f>
        <v>1</v>
      </c>
    </row>
    <row r="31" customFormat="false" ht="15" hidden="false" customHeight="true" outlineLevel="0" collapsed="false">
      <c r="A31" s="6" t="s">
        <v>638</v>
      </c>
      <c r="B31" s="6" t="s">
        <v>639</v>
      </c>
      <c r="C31" s="6" t="s">
        <v>640</v>
      </c>
      <c r="D31" s="6" t="s">
        <v>641</v>
      </c>
      <c r="E31" s="6" t="s">
        <v>642</v>
      </c>
      <c r="F31" s="6" t="n">
        <f aca="false">COUNTIF(Misconceptions!$L$2:$L$43,"*"&amp;A31&amp;"*")</f>
        <v>1</v>
      </c>
    </row>
    <row r="32" customFormat="false" ht="15" hidden="false" customHeight="true" outlineLevel="0" collapsed="false">
      <c r="A32" s="6" t="s">
        <v>643</v>
      </c>
      <c r="B32" s="6" t="s">
        <v>644</v>
      </c>
      <c r="C32" s="6" t="s">
        <v>645</v>
      </c>
      <c r="D32" s="6" t="s">
        <v>646</v>
      </c>
      <c r="E32" s="6" t="s">
        <v>647</v>
      </c>
      <c r="F32" s="6" t="n">
        <f aca="false">COUNTIF(Misconceptions!$L$2:$L$43,"*"&amp;A32&amp;"*")</f>
        <v>2</v>
      </c>
    </row>
    <row r="33" customFormat="false" ht="45.75" hidden="false" customHeight="true" outlineLevel="0" collapsed="false">
      <c r="A33" s="6" t="s">
        <v>648</v>
      </c>
      <c r="B33" s="6" t="s">
        <v>649</v>
      </c>
      <c r="C33" s="6" t="s">
        <v>650</v>
      </c>
      <c r="D33" s="6" t="s">
        <v>651</v>
      </c>
      <c r="E33" s="6" t="s">
        <v>652</v>
      </c>
      <c r="F33" s="6" t="n">
        <f aca="false">COUNTIF(Misconceptions!$L$2:$L$43,"*"&amp;A33&amp;"*")</f>
        <v>1</v>
      </c>
    </row>
    <row r="34" customFormat="false" ht="34.5" hidden="false" customHeight="true" outlineLevel="0" collapsed="false">
      <c r="A34" s="6" t="s">
        <v>653</v>
      </c>
      <c r="B34" s="6" t="s">
        <v>654</v>
      </c>
      <c r="C34" s="6" t="s">
        <v>655</v>
      </c>
      <c r="D34" s="6" t="s">
        <v>656</v>
      </c>
      <c r="E34" s="6" t="s">
        <v>657</v>
      </c>
      <c r="F34" s="6" t="n">
        <f aca="false">COUNTIF(Misconceptions!$L$2:$L$43,"*"&amp;A34&amp;"*")</f>
        <v>1</v>
      </c>
    </row>
    <row r="35" customFormat="false" ht="15" hidden="false" customHeight="true" outlineLevel="0" collapsed="false">
      <c r="A35" s="6" t="s">
        <v>658</v>
      </c>
      <c r="B35" s="6" t="s">
        <v>659</v>
      </c>
      <c r="C35" s="6" t="s">
        <v>660</v>
      </c>
      <c r="D35" s="6" t="s">
        <v>661</v>
      </c>
      <c r="E35" s="6" t="s">
        <v>662</v>
      </c>
      <c r="F35" s="6" t="n">
        <f aca="false">COUNTIF(Misconceptions!$L$2:$L$43,"*"&amp;A35&amp;"*")</f>
        <v>1</v>
      </c>
    </row>
    <row r="36" customFormat="false" ht="23.25" hidden="false" customHeight="true" outlineLevel="0" collapsed="false">
      <c r="A36" s="6" t="s">
        <v>663</v>
      </c>
      <c r="B36" s="6" t="s">
        <v>664</v>
      </c>
      <c r="C36" s="6" t="s">
        <v>665</v>
      </c>
      <c r="D36" s="6" t="s">
        <v>666</v>
      </c>
      <c r="E36" s="6" t="s">
        <v>667</v>
      </c>
      <c r="F36" s="6" t="n">
        <f aca="false">COUNTIF(Misconceptions!$L$2:$L$43,"*"&amp;A36&amp;"*")</f>
        <v>3</v>
      </c>
    </row>
    <row r="37" customFormat="false" ht="23.25" hidden="false" customHeight="true" outlineLevel="0" collapsed="false">
      <c r="A37" s="6" t="s">
        <v>668</v>
      </c>
      <c r="B37" s="6" t="s">
        <v>669</v>
      </c>
      <c r="C37" s="6" t="s">
        <v>670</v>
      </c>
      <c r="D37" s="6" t="s">
        <v>671</v>
      </c>
      <c r="E37" s="6" t="s">
        <v>672</v>
      </c>
      <c r="F37" s="6" t="n">
        <f aca="false">COUNTIF(Misconceptions!$L$2:$L$43,"*"&amp;A37&amp;"*")</f>
        <v>3</v>
      </c>
    </row>
    <row r="38" customFormat="false" ht="34.5" hidden="false" customHeight="true" outlineLevel="0" collapsed="false">
      <c r="A38" s="6" t="s">
        <v>673</v>
      </c>
      <c r="B38" s="6" t="s">
        <v>674</v>
      </c>
      <c r="C38" s="6" t="s">
        <v>675</v>
      </c>
      <c r="D38" s="6" t="s">
        <v>676</v>
      </c>
      <c r="E38" s="6" t="s">
        <v>677</v>
      </c>
      <c r="F38" s="6" t="n">
        <f aca="false">COUNTIF(Misconceptions!$L$2:$L$43,"*"&amp;A38&amp;"*")</f>
        <v>1</v>
      </c>
    </row>
    <row r="39" customFormat="false" ht="15" hidden="false" customHeight="true" outlineLevel="0" collapsed="false">
      <c r="A39" s="6" t="s">
        <v>678</v>
      </c>
      <c r="B39" s="6" t="s">
        <v>679</v>
      </c>
      <c r="C39" s="6" t="s">
        <v>680</v>
      </c>
      <c r="D39" s="6" t="s">
        <v>681</v>
      </c>
      <c r="E39" s="6" t="s">
        <v>682</v>
      </c>
      <c r="F39" s="6" t="n">
        <f aca="false">COUNTIF(Misconceptions!$L$2:$L$43,"*"&amp;A39&amp;"*")</f>
        <v>1</v>
      </c>
    </row>
    <row r="40" customFormat="false" ht="15" hidden="false" customHeight="true" outlineLevel="0" collapsed="false">
      <c r="A40" s="6" t="s">
        <v>683</v>
      </c>
      <c r="B40" s="6" t="s">
        <v>684</v>
      </c>
      <c r="C40" s="6" t="s">
        <v>685</v>
      </c>
      <c r="D40" s="6" t="s">
        <v>686</v>
      </c>
      <c r="E40" s="6" t="s">
        <v>687</v>
      </c>
      <c r="F40" s="6" t="n">
        <f aca="false">COUNTIF(Misconceptions!$L$2:$L$43,"*"&amp;A40&amp;"*")</f>
        <v>1</v>
      </c>
    </row>
    <row r="41" customFormat="false" ht="15" hidden="false" customHeight="true" outlineLevel="0" collapsed="false">
      <c r="A41" s="6" t="s">
        <v>688</v>
      </c>
      <c r="B41" s="6" t="s">
        <v>689</v>
      </c>
      <c r="C41" s="6" t="s">
        <v>690</v>
      </c>
      <c r="D41" s="6" t="s">
        <v>691</v>
      </c>
      <c r="E41" s="6"/>
      <c r="F41" s="6" t="n">
        <f aca="false">COUNTIF(Misconceptions!$L$2:$L$43,"*"&amp;A41&amp;"*")</f>
        <v>3</v>
      </c>
    </row>
    <row r="42" customFormat="false" ht="34.5" hidden="false" customHeight="true" outlineLevel="0" collapsed="false">
      <c r="A42" s="6" t="s">
        <v>692</v>
      </c>
      <c r="B42" s="6" t="s">
        <v>693</v>
      </c>
      <c r="C42" s="6" t="s">
        <v>694</v>
      </c>
      <c r="D42" s="6" t="s">
        <v>695</v>
      </c>
      <c r="E42" s="6"/>
      <c r="F42" s="6" t="n">
        <f aca="false">COUNTIF(Misconceptions!$L$2:$L$43,"*"&amp;A42&amp;"*")</f>
        <v>1</v>
      </c>
    </row>
    <row r="43" customFormat="false" ht="15" hidden="false" customHeight="true" outlineLevel="0" collapsed="false">
      <c r="A43" s="6" t="s">
        <v>696</v>
      </c>
      <c r="B43" s="6" t="s">
        <v>697</v>
      </c>
      <c r="C43" s="6" t="s">
        <v>698</v>
      </c>
      <c r="D43" s="6" t="s">
        <v>699</v>
      </c>
      <c r="E43" s="6"/>
      <c r="F43" s="6" t="n">
        <f aca="false">COUNTIF(Misconceptions!$L$2:$L$43,"*"&amp;A43&amp;"*")</f>
        <v>2</v>
      </c>
    </row>
    <row r="44" customFormat="false" ht="23.25" hidden="false" customHeight="true" outlineLevel="0" collapsed="false">
      <c r="A44" s="6" t="s">
        <v>700</v>
      </c>
      <c r="B44" s="6" t="s">
        <v>697</v>
      </c>
      <c r="C44" s="6" t="s">
        <v>701</v>
      </c>
      <c r="D44" s="6" t="s">
        <v>702</v>
      </c>
      <c r="E44" s="6"/>
      <c r="F44" s="6" t="n">
        <f aca="false">COUNTIF(Misconceptions!$L$2:$L$43,"*"&amp;A44&amp;"*")</f>
        <v>2</v>
      </c>
    </row>
    <row r="45" customFormat="false" ht="23.25" hidden="false" customHeight="true" outlineLevel="0" collapsed="false">
      <c r="A45" s="6" t="s">
        <v>703</v>
      </c>
      <c r="B45" s="6" t="s">
        <v>704</v>
      </c>
      <c r="C45" s="6" t="s">
        <v>705</v>
      </c>
      <c r="D45" s="6" t="s">
        <v>706</v>
      </c>
      <c r="E45" s="6" t="s">
        <v>707</v>
      </c>
      <c r="F45" s="6" t="n">
        <f aca="false">COUNTIF(Misconceptions!$L$2:$L$43,"*"&amp;A45&amp;"*")</f>
        <v>3</v>
      </c>
    </row>
    <row r="46" customFormat="false" ht="34.5" hidden="false" customHeight="true" outlineLevel="0" collapsed="false">
      <c r="A46" s="6" t="s">
        <v>708</v>
      </c>
      <c r="B46" s="6" t="s">
        <v>709</v>
      </c>
      <c r="C46" s="6" t="s">
        <v>710</v>
      </c>
      <c r="D46" s="6" t="s">
        <v>711</v>
      </c>
      <c r="E46" s="6" t="s">
        <v>712</v>
      </c>
      <c r="F46" s="6" t="n">
        <f aca="false">COUNTIF(Misconceptions!$L$2:$L$43,"*"&amp;A46&amp;"*")</f>
        <v>1</v>
      </c>
    </row>
    <row r="47" customFormat="false" ht="15" hidden="false" customHeight="true" outlineLevel="0" collapsed="false">
      <c r="A47" s="6" t="s">
        <v>713</v>
      </c>
      <c r="B47" s="6" t="s">
        <v>714</v>
      </c>
      <c r="C47" s="6" t="s">
        <v>715</v>
      </c>
      <c r="D47" s="6" t="s">
        <v>716</v>
      </c>
      <c r="E47" s="6"/>
      <c r="F47" s="6" t="n">
        <f aca="false">COUNTIF(Misconceptions!$L$2:$L$43,"*"&amp;A47&amp;"*")</f>
        <v>3</v>
      </c>
    </row>
    <row r="48" customFormat="false" ht="15" hidden="false" customHeight="true" outlineLevel="0" collapsed="false">
      <c r="A48" s="6" t="s">
        <v>717</v>
      </c>
      <c r="B48" s="6" t="s">
        <v>718</v>
      </c>
      <c r="C48" s="6" t="s">
        <v>719</v>
      </c>
      <c r="D48" s="6" t="s">
        <v>720</v>
      </c>
      <c r="E48" s="6" t="s">
        <v>721</v>
      </c>
      <c r="F48" s="6" t="n">
        <f aca="false">COUNTIF(Misconceptions!$L$2:$L$43,"*"&amp;A48&amp;"*")</f>
        <v>2</v>
      </c>
    </row>
    <row r="49" customFormat="false" ht="15" hidden="false" customHeight="true" outlineLevel="0" collapsed="false">
      <c r="A49" s="6" t="s">
        <v>722</v>
      </c>
      <c r="B49" s="6" t="s">
        <v>723</v>
      </c>
      <c r="C49" s="6" t="s">
        <v>724</v>
      </c>
      <c r="D49" s="6" t="s">
        <v>725</v>
      </c>
      <c r="E49" s="6" t="s">
        <v>726</v>
      </c>
      <c r="F49" s="6" t="n">
        <f aca="false">COUNTIF(Misconceptions!$L$2:$L$43,"*"&amp;A49&amp;"*")</f>
        <v>1</v>
      </c>
    </row>
    <row r="50" customFormat="false" ht="23.25" hidden="false" customHeight="true" outlineLevel="0" collapsed="false">
      <c r="A50" s="6" t="s">
        <v>727</v>
      </c>
      <c r="B50" s="6" t="s">
        <v>728</v>
      </c>
      <c r="C50" s="6" t="s">
        <v>729</v>
      </c>
      <c r="D50" s="6" t="s">
        <v>730</v>
      </c>
      <c r="E50" s="6" t="s">
        <v>731</v>
      </c>
      <c r="F50" s="6" t="n">
        <f aca="false">COUNTIF(Misconceptions!$L$2:$L$43,"*"&amp;A50&amp;"*")</f>
        <v>1</v>
      </c>
    </row>
    <row r="51" customFormat="false" ht="15" hidden="false" customHeight="true" outlineLevel="0" collapsed="false">
      <c r="A51" s="6" t="s">
        <v>732</v>
      </c>
      <c r="B51" s="6" t="s">
        <v>733</v>
      </c>
      <c r="C51" s="6" t="s">
        <v>734</v>
      </c>
      <c r="D51" s="6" t="s">
        <v>735</v>
      </c>
      <c r="E51" s="6"/>
      <c r="F51" s="6" t="n">
        <f aca="false">COUNTIF(Misconceptions!$L$2:$L$43,"*"&amp;A51&amp;"*")</f>
        <v>1</v>
      </c>
    </row>
    <row r="52" customFormat="false" ht="15" hidden="false" customHeight="true" outlineLevel="0" collapsed="false">
      <c r="A52" s="6" t="s">
        <v>154</v>
      </c>
      <c r="B52" s="6" t="s">
        <v>736</v>
      </c>
      <c r="C52" s="6" t="s">
        <v>737</v>
      </c>
      <c r="D52" s="6" t="s">
        <v>738</v>
      </c>
      <c r="E52" s="6" t="s">
        <v>739</v>
      </c>
      <c r="F52" s="6" t="n">
        <f aca="false">COUNTIF(Misconceptions!$L$2:$L$43,"*"&amp;A52&amp;"*")</f>
        <v>2</v>
      </c>
    </row>
    <row r="53" customFormat="false" ht="23.25" hidden="false" customHeight="true" outlineLevel="0" collapsed="false">
      <c r="A53" s="6" t="s">
        <v>740</v>
      </c>
      <c r="B53" s="6" t="s">
        <v>741</v>
      </c>
      <c r="C53" s="6" t="s">
        <v>742</v>
      </c>
      <c r="D53" s="6" t="s">
        <v>743</v>
      </c>
      <c r="E53" s="6" t="s">
        <v>744</v>
      </c>
      <c r="F53" s="6" t="n">
        <f aca="false">COUNTIF(Misconceptions!$L$2:$L$43,"*"&amp;A53&amp;"*")</f>
        <v>1</v>
      </c>
    </row>
    <row r="54" customFormat="false" ht="15" hidden="false" customHeight="true" outlineLevel="0" collapsed="false">
      <c r="A54" s="6" t="s">
        <v>335</v>
      </c>
      <c r="B54" s="6" t="s">
        <v>745</v>
      </c>
      <c r="C54" s="6" t="s">
        <v>746</v>
      </c>
      <c r="D54" s="6" t="s">
        <v>747</v>
      </c>
      <c r="E54" s="6" t="s">
        <v>748</v>
      </c>
      <c r="F54" s="6" t="n">
        <f aca="false">COUNTIF(Misconceptions!$L$2:$L$43,"*"&amp;A54&amp;"*")</f>
        <v>1</v>
      </c>
    </row>
    <row r="56" customFormat="false" ht="15" hidden="false" customHeight="true" outlineLevel="0" collapsed="false">
      <c r="A56" s="14" t="s">
        <v>749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2026-09-21T06:06:30Z</dcterms:created>
  <dc:creator>openpyxl</dc:creator>
  <dc:description/>
  <dc:language>en-US</dc:language>
  <cp:lastModifiedBy/>
  <dcterms:modified xsi:type="dcterms:W3CDTF">2026-09-30T08:21:12Z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